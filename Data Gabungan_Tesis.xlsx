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search Consultant Projects\Project Two Way ANOVA\"/>
    </mc:Choice>
  </mc:AlternateContent>
  <xr:revisionPtr revIDLastSave="0" documentId="13_ncr:1_{B5C06ACD-D122-485A-A484-6DC9A4688E5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set" sheetId="6" r:id="rId1"/>
    <sheet name="GABUNGAN" sheetId="1" r:id="rId2"/>
    <sheet name="Copy of Cleaning Responses 1" sheetId="2" r:id="rId3"/>
    <sheet name="Copy of Cleaning Responses 2" sheetId="3" r:id="rId4"/>
    <sheet name="Copy of Cleaning Responses 3" sheetId="4" r:id="rId5"/>
    <sheet name="Copy of Cleaning Responses 4" sheetId="5" r:id="rId6"/>
  </sheets>
  <definedNames>
    <definedName name="_xlnm._FilterDatabase" localSheetId="2" hidden="1">'Copy of Cleaning Responses 1'!$A$1:$Q$43</definedName>
    <definedName name="_xlnm._FilterDatabase" localSheetId="3" hidden="1">'Copy of Cleaning Responses 2'!$A$1:$Q$42</definedName>
    <definedName name="_xlnm._FilterDatabase" localSheetId="4" hidden="1">'Copy of Cleaning Responses 3'!$A$1:$Q$42</definedName>
    <definedName name="_xlnm._FilterDatabase" localSheetId="5" hidden="1">'Copy of Cleaning Responses 4'!$A$1:$T$41</definedName>
    <definedName name="_xlnm._FilterDatabase" localSheetId="1" hidden="1">GABUNGAN!$A$1:$R$165</definedName>
  </definedNames>
  <calcPr calcId="191029"/>
</workbook>
</file>

<file path=xl/calcChain.xml><?xml version="1.0" encoding="utf-8"?>
<calcChain xmlns="http://schemas.openxmlformats.org/spreadsheetml/2006/main">
  <c r="L165" i="6" l="1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D4E8517A-DE6E-4C57-B9C2-19F57962D7CB}">
      <text>
        <r>
          <rPr>
            <sz val="10"/>
            <color rgb="FF000000"/>
            <rFont val="Arial"/>
            <scheme val="minor"/>
          </rPr>
          <t>Manipulation Check
	-Galih Primanda Permana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Manipulation Check
	-Galih Primanda Permana</t>
        </r>
      </text>
    </comment>
  </commentList>
</comments>
</file>

<file path=xl/sharedStrings.xml><?xml version="1.0" encoding="utf-8"?>
<sst xmlns="http://schemas.openxmlformats.org/spreadsheetml/2006/main" count="4804" uniqueCount="384">
  <si>
    <t>Kelompok Stimulus</t>
  </si>
  <si>
    <t>Nama</t>
  </si>
  <si>
    <t>Usia (dalam tahun)</t>
  </si>
  <si>
    <t>Jenis Kelamin</t>
  </si>
  <si>
    <t>Pendidikan Terakhir</t>
  </si>
  <si>
    <t>Manipulation Check: Poster menampilkan kerugian jika seseorang tidak bergabung ke dalam organisasi HPFP.</t>
  </si>
  <si>
    <t>Y1) Jika menerima undangan bergabung sebagai anggota HPFP, saya berniat menerimanya.</t>
  </si>
  <si>
    <t>Y2) Saya berniat menjadikan HPFP sebagai salah satu pilihan utama organisasi profesi saya.</t>
  </si>
  <si>
    <t>Y3) Jika ada sesi sosialisasi terkait HPFP, saya berniat hadir.</t>
  </si>
  <si>
    <t>Y4) Saya berniat menuntaskan seluruh tahapan pendaftaran bergabung hingga status saya resmi menjadi anggota HPFP.</t>
  </si>
  <si>
    <t>Y5) Saya berniat merekomendasikan keanggotaan HPFP kepada rekan sejawat saya.</t>
  </si>
  <si>
    <t>Status Kepegawaian ASN</t>
  </si>
  <si>
    <t>Instansi</t>
  </si>
  <si>
    <t>Unit Kerja dan Unit Organisasi</t>
  </si>
  <si>
    <t>Masa Kerja</t>
  </si>
  <si>
    <t>Jabatan Fungsional</t>
  </si>
  <si>
    <t>Jenjang Jabatan Fungsional</t>
  </si>
  <si>
    <t>Doni Priyanto</t>
  </si>
  <si>
    <t>Laki-laki</t>
  </si>
  <si>
    <t>S2</t>
  </si>
  <si>
    <t>PNS</t>
  </si>
  <si>
    <t>Pemerintah Daerah</t>
  </si>
  <si>
    <t>Dinas Pekerjaan Umum dan Perumahan Rakyat Kabupaten Pringsewu</t>
  </si>
  <si>
    <t>10–&lt;15 tahun</t>
  </si>
  <si>
    <t>JF Penata Kelola Bangunan Gedung dan Kawasan Permukiman</t>
  </si>
  <si>
    <t>Ahli Muda</t>
  </si>
  <si>
    <t>Yulius Astana Dewa</t>
  </si>
  <si>
    <t>Dinas Cipta Karya, Perumahan dan Kawasan Permukiman Kab. Gresik</t>
  </si>
  <si>
    <t>JF Penata Kelola Penyehatan Lingkungan</t>
  </si>
  <si>
    <t>Ir. Candra Hakim Van Rafi’i, S.T., M.T.</t>
  </si>
  <si>
    <t xml:space="preserve">Dinas Perumahan dan Kawasan Permukiman Kabupaten Mesuji </t>
  </si>
  <si>
    <t>EKO YUDHOWO</t>
  </si>
  <si>
    <t>DINAS PEKERJAAN UMUM DAN PENATAAN RUANG KOTA BONTANG</t>
  </si>
  <si>
    <t>≥ 15 tahun</t>
  </si>
  <si>
    <t>Ir. RADEN RIANO IRWANSJAH, ST., MAP</t>
  </si>
  <si>
    <t xml:space="preserve">Dinas Pekerjaan Umum dan Tata Ruang Kabupaten Sumenep </t>
  </si>
  <si>
    <t>JAYANTI MANDASARI, S.T.</t>
  </si>
  <si>
    <t>Perempuan</t>
  </si>
  <si>
    <t>D4 / S1</t>
  </si>
  <si>
    <t>DINAS PERUMAHAN RAKYAT DAN KAWASAN PERMUKIMAN PROV. JAWA TENGAH</t>
  </si>
  <si>
    <t>5–&lt;10 tahun</t>
  </si>
  <si>
    <t>Ahli Pertama</t>
  </si>
  <si>
    <t>Abdul YB</t>
  </si>
  <si>
    <t>Kementerian Pekerjaan Umum</t>
  </si>
  <si>
    <t>Direktorat BTBGPL CK</t>
  </si>
  <si>
    <t>Abdul Hakam</t>
  </si>
  <si>
    <t>Direktorat Bina Penataan Bangunan, Ditjen Cipta Karya</t>
  </si>
  <si>
    <t>Ahli Madya</t>
  </si>
  <si>
    <t>Mirza Nikonanto, S.T</t>
  </si>
  <si>
    <t>Dinas Pekerjaan Umum dan Perumahan Rakyat Kabupaten Cilacap</t>
  </si>
  <si>
    <t>HONEST HOKYANET</t>
  </si>
  <si>
    <t>PPPK</t>
  </si>
  <si>
    <t>Dinas Pekerjaan Umum dan Penataan Ruang Kota Palembang</t>
  </si>
  <si>
    <t>1–&lt;5 tahun</t>
  </si>
  <si>
    <t>Ir. Poppy Augustina L,.ST.,MT</t>
  </si>
  <si>
    <t>Dinas PUPR Kota Palembang</t>
  </si>
  <si>
    <t>Nur Wakhidah Mayang Sari</t>
  </si>
  <si>
    <t>DPUPR Kab Madiun</t>
  </si>
  <si>
    <t>DJUNAIDI MUSTOFA</t>
  </si>
  <si>
    <t>Dirjen Cipta Karya</t>
  </si>
  <si>
    <t>HASNI PS</t>
  </si>
  <si>
    <t xml:space="preserve">Dinas Pekerjaan Umum dan Penataan Ruang </t>
  </si>
  <si>
    <t>WARDANI YULIANA BADAWI, ST.,MT</t>
  </si>
  <si>
    <t>DINAS BINA MARGA CIPTA KARYA DAN TATA RUANG KABUPATEN PINRANG</t>
  </si>
  <si>
    <t>Ryo Teguh Sukarto</t>
  </si>
  <si>
    <t xml:space="preserve">Direktorat Bina Teknik Bangunan Gedung dan Penyehatan Lingkungan </t>
  </si>
  <si>
    <t>Rovineida Hizkia</t>
  </si>
  <si>
    <t>Ditjen Cipta Karya</t>
  </si>
  <si>
    <t>Surya Enros Dwi Mahaputra</t>
  </si>
  <si>
    <t>PU Cipta Karya</t>
  </si>
  <si>
    <t>Agus Adhi Saputro S.T.</t>
  </si>
  <si>
    <t>Direktorat Jenderal Cipta Karya</t>
  </si>
  <si>
    <t>Herlin Sofie</t>
  </si>
  <si>
    <t>Balai Papua Cipta Karya</t>
  </si>
  <si>
    <t>Sylvia Kurniawati S.T.</t>
  </si>
  <si>
    <t>Dit Jenderal Cipta Karya</t>
  </si>
  <si>
    <t>Oktavia Anggrayani S.T.</t>
  </si>
  <si>
    <t>DJCK</t>
  </si>
  <si>
    <t>Marselyanus Akin S.T.</t>
  </si>
  <si>
    <t>Balai Cipta Karya</t>
  </si>
  <si>
    <t>Peter Hityahubessy</t>
  </si>
  <si>
    <t>Cipta Karya</t>
  </si>
  <si>
    <t xml:space="preserve">Suspelti Mangalik </t>
  </si>
  <si>
    <t>Ditjen CK</t>
  </si>
  <si>
    <t xml:space="preserve">Wandany Simanjuntak </t>
  </si>
  <si>
    <t>BPBPK Direktorat Jenderal Cipta Karya</t>
  </si>
  <si>
    <t>Yohanes Bagaskara Cahya K.</t>
  </si>
  <si>
    <t>Direktorat Jenderal CK</t>
  </si>
  <si>
    <t xml:space="preserve">Carista Sulanda Mariana </t>
  </si>
  <si>
    <t xml:space="preserve">Ahmad Riadi </t>
  </si>
  <si>
    <t>BPBPK Riau</t>
  </si>
  <si>
    <t xml:space="preserve">Nuraini </t>
  </si>
  <si>
    <t>Dinas Perumahan dan Kawasan Permukiman Kab. Gayo Lues</t>
  </si>
  <si>
    <t>Novan Rianto, S.T.</t>
  </si>
  <si>
    <t>Dinas Perumahan dan Kawasan Permukiman Kabupaten Bandung Barat</t>
  </si>
  <si>
    <t>Nur Amalina Fathunah, ST</t>
  </si>
  <si>
    <t xml:space="preserve">Vinus Adharyadi </t>
  </si>
  <si>
    <t>Balai PBPK Ditjen CK</t>
  </si>
  <si>
    <t xml:space="preserve">Perlyna Gustin </t>
  </si>
  <si>
    <t xml:space="preserve">Reyhan Fitra Pradicta </t>
  </si>
  <si>
    <t xml:space="preserve">Inen Pitomo </t>
  </si>
  <si>
    <t>Dinas Pekerjaan Umum Kabupaten Banyumas</t>
  </si>
  <si>
    <t>Afiq Anggit Saputro, S.T.</t>
  </si>
  <si>
    <t>Direktorat BPB, Ditjen Cipta Karya</t>
  </si>
  <si>
    <t>JIMMY SANTOSO, S.T</t>
  </si>
  <si>
    <t>Dinas Pekerjaan Umum, Penataan Ruang, Perumahan dan Kawasan Permukiman Kabupaten Barito Timur</t>
  </si>
  <si>
    <t>Muhammad Nuril Ardan, ST.</t>
  </si>
  <si>
    <t>Dinas Perumahan dan Kawasan Permukiman Kabupaten Blitar</t>
  </si>
  <si>
    <t>Saik Hidayatul Ahmada, S.T.</t>
  </si>
  <si>
    <t>Direktorat Jendral Cipta Karya</t>
  </si>
  <si>
    <t>Dhanang Bagus S.</t>
  </si>
  <si>
    <t>Ditjen Cipat Karya</t>
  </si>
  <si>
    <t>HADITONO, S.T.</t>
  </si>
  <si>
    <t>Dinas Pekerjaan Umum dan Penataan Ruang Kabupaten Batang Hari</t>
  </si>
  <si>
    <t>Anggoro Yoseph Prihanantyo</t>
  </si>
  <si>
    <t>Dinas Pekerjaan Umum dan Tata Ruang Kota Banjar</t>
  </si>
  <si>
    <t>AWENDI, S.T</t>
  </si>
  <si>
    <t>Dinas Pekerjaan Umum dan Penataan Ruang Kabupaten Kaur</t>
  </si>
  <si>
    <t xml:space="preserve">Boy Richard Ali Akbar, S. T., M. T. </t>
  </si>
  <si>
    <t>Dinas Pekerjaan Umum Penataan Ruang Perumahan Kawasan Permukiman dan Pertanahan Provinsi Riau</t>
  </si>
  <si>
    <t>Jaenette Manurung</t>
  </si>
  <si>
    <t>Dinas Tata Ruang Kota Bekasi</t>
  </si>
  <si>
    <t>CHOLID HANAFIAH, S.T</t>
  </si>
  <si>
    <t>Dinas Pendidikan</t>
  </si>
  <si>
    <t>JF Penata Laksana Bangunan Gedung dan Kawasan Permukiman</t>
  </si>
  <si>
    <t>Jenjang Keterampilan (Pemula/Terampil/Mahir/Penyelia)</t>
  </si>
  <si>
    <t>Firman Setyadi, S.T.</t>
  </si>
  <si>
    <t>Direktorat SSPICK</t>
  </si>
  <si>
    <t>Azka Shalihah</t>
  </si>
  <si>
    <t>Balai Penataan Bangunan, Prasarana, dan Kawasan Balu</t>
  </si>
  <si>
    <t>Kgs. M. Benyamin Azhary</t>
  </si>
  <si>
    <t>Dinas Perkimtan Kabupaten Banyuasin</t>
  </si>
  <si>
    <t>HENDRI, ST</t>
  </si>
  <si>
    <t>Dinas Pekerjaan Umum dan Penataan Ruang</t>
  </si>
  <si>
    <t xml:space="preserve">Dinas Pekerjaan Umum dan Penataan Ruang Kabupaten Kepulauan Mentawai </t>
  </si>
  <si>
    <t>Zakiah Fitri</t>
  </si>
  <si>
    <t>Dinas Perumahan dan Kawasan Permukiman Kota Bukittinggi</t>
  </si>
  <si>
    <t>&lt; 1 tahun</t>
  </si>
  <si>
    <t>Oktalina Mayasari</t>
  </si>
  <si>
    <t>Dit. SSPICK</t>
  </si>
  <si>
    <t>Mariane Emilia Nugraheni Theresaputri, S.T., M.T.</t>
  </si>
  <si>
    <t>Satker Pelaksanaan Prasarana Strategis Papua Barat, DJPS</t>
  </si>
  <si>
    <t>YOYOK MEY SUGIARTO,S.T,.M.M</t>
  </si>
  <si>
    <t>DINAS CIPTA KARYA PERUMAHAN KAWASAN PERMIKIMAN PROV.JAWATIMUR KAB.GRESIK</t>
  </si>
  <si>
    <t>MAHFUDZUD DARSAL 'ULUM</t>
  </si>
  <si>
    <t>Bidang Cipta Karya Dinas Pekerjaan Umum dan Penataan Ruang Kabupaten Magetan</t>
  </si>
  <si>
    <t>Oklanda,ST</t>
  </si>
  <si>
    <t>Direktorat Jenderal Prasarana Strategis</t>
  </si>
  <si>
    <t>Saleha Ma'adin ST</t>
  </si>
  <si>
    <t>Dinas Perumahan Rakyat KAwasan Permukiman Pertanahan dan Tata Ruang, Pemerintah Kabupaten Sragen</t>
  </si>
  <si>
    <t>Muhammad Ali Habibie, S.T.</t>
  </si>
  <si>
    <t>Direktorat Kepatuhan Intern, Direktorat Jenderal Cipta Karya</t>
  </si>
  <si>
    <t>Nataniel Lembang</t>
  </si>
  <si>
    <t>Balai PBPK Papua</t>
  </si>
  <si>
    <t>Norbertus Roman Swytamora</t>
  </si>
  <si>
    <t xml:space="preserve">Prabhavali Aji Astira </t>
  </si>
  <si>
    <t xml:space="preserve">Rendra Rizal Ramadhan </t>
  </si>
  <si>
    <t>Teguh Pangaribowo S.T.</t>
  </si>
  <si>
    <t>Yulian Yuffo Numberi</t>
  </si>
  <si>
    <t>Seppi Yuliana S.T.</t>
  </si>
  <si>
    <t>Direktorat Sanitasi, Ditjen Cipta Karya</t>
  </si>
  <si>
    <t>Dr. Marsudi S.T., S.E., M.M.</t>
  </si>
  <si>
    <t>S3</t>
  </si>
  <si>
    <t>Balai Papua Barat, Direktorat Jenderal Cipta Karya</t>
  </si>
  <si>
    <t>JAMALUDIN UGAR ST, M.Ling.</t>
  </si>
  <si>
    <t>Muhammad Fadly Doa S.T.</t>
  </si>
  <si>
    <t>DJ CIpta Karya</t>
  </si>
  <si>
    <t>Nico Saputra S.T.</t>
  </si>
  <si>
    <t>William Reza Borgan S.T.</t>
  </si>
  <si>
    <t>Ditjen Cipta Kary</t>
  </si>
  <si>
    <t>Luthfia Armanda S.T.</t>
  </si>
  <si>
    <t>Ditjen Cipta Karya, Kemen PU</t>
  </si>
  <si>
    <t>Arum Kurnia Intani S.T.</t>
  </si>
  <si>
    <t>Andra Hasrianto S.T.</t>
  </si>
  <si>
    <t>Balai Kep. Riau, Ditjen Cipta Karya</t>
  </si>
  <si>
    <t>Fitri Wulandari, ST</t>
  </si>
  <si>
    <t>Dinas Pekerjaan Umum dan Tata Ruang Kabupaten Agam</t>
  </si>
  <si>
    <t>Gustina Lusiani, S.T.</t>
  </si>
  <si>
    <t>Fera Mutiara Sari Putri, ST</t>
  </si>
  <si>
    <t>DEDY SURANTO, ST</t>
  </si>
  <si>
    <t>Dinas Perumahan Kawasan Permukiman dan Pertanahan Kabupaten Bangka Belitung</t>
  </si>
  <si>
    <t>Resti Frida Syafitri, S.T.</t>
  </si>
  <si>
    <t>Dinas Pekerjaan Umum dan Penataan Ruang Kabupaten Bangka Selatan</t>
  </si>
  <si>
    <t>Ayu Tiara Maharani, ST</t>
  </si>
  <si>
    <t>Dinas Perumahan dan Kawasan Permukiman Kabupaten Banyumas</t>
  </si>
  <si>
    <t>Dwi Dhoyo, S.T.</t>
  </si>
  <si>
    <t>Tika Rachmawati, ST, MSc</t>
  </si>
  <si>
    <t>Dinas Pekerjaan Umum dan Penataan Ruang Kabupaten Bogor</t>
  </si>
  <si>
    <t>Isnat Ahmad Zulfaqor, S.Ars.,M.T</t>
  </si>
  <si>
    <t>I Gusti Agung Krisna Divayana, S.T.</t>
  </si>
  <si>
    <t>Balai Penataan Bangunan, Prasarana, dan Kawasan Bali, Ditjen Cipta Karya</t>
  </si>
  <si>
    <t>Ir. Nurfajri Asmara, S.T</t>
  </si>
  <si>
    <t>Dinas Pekerjaan Umum dan Penataan Ruang Kabupaten Karimun</t>
  </si>
  <si>
    <t>JULIANTO</t>
  </si>
  <si>
    <t>DIREKTORAT KEPATUHAN INTERN, DITJEN CIPTA KARYA</t>
  </si>
  <si>
    <t>ZULFA MAHARANI</t>
  </si>
  <si>
    <t>DINAS PERKIM KAB TEGAL</t>
  </si>
  <si>
    <t>Rahmatullah,A.Md</t>
  </si>
  <si>
    <t>D1 / D2 / D3</t>
  </si>
  <si>
    <t>Disperkimtan Kab. Enrekang</t>
  </si>
  <si>
    <t>R. Romdhani Deky Nartantari</t>
  </si>
  <si>
    <t>Dinas Pekerjaan Umum, Perumahan dan Kaeasan Permukiman Kabupaten Ponorogo</t>
  </si>
  <si>
    <t>IRMA FITRIANA</t>
  </si>
  <si>
    <t>Dinas Pekerjaan Umum dan Penataan Ruang Kabupaten Jombang</t>
  </si>
  <si>
    <t>Sari Agustini, S.T</t>
  </si>
  <si>
    <t>Dinas Perumahan Rakyat dan Kawasan Permukiman serta Pertanahan</t>
  </si>
  <si>
    <t>Raden Irvan Tauramdhanny Natakusuma Bratasunarya</t>
  </si>
  <si>
    <t>Dinas Pekerjaan Umum dan Tata Ruang Kota Sukabumi</t>
  </si>
  <si>
    <t>Ihsan Yudi Permadi</t>
  </si>
  <si>
    <t>Dinas Perumahan Dan Kawasan Permukiman Kota Bukittiggi</t>
  </si>
  <si>
    <t xml:space="preserve">Amelia Yunisa Kusumawardani </t>
  </si>
  <si>
    <t xml:space="preserve">Rani Kristina Sitompul </t>
  </si>
  <si>
    <t>Balai Wilayah Papua, CK</t>
  </si>
  <si>
    <t>Ulfa Nabila</t>
  </si>
  <si>
    <t>Andini Karimah Zuti S.T.</t>
  </si>
  <si>
    <t xml:space="preserve">Syifaullinnas </t>
  </si>
  <si>
    <t>Wishnu Aryo Wibisono S.T., M.T.</t>
  </si>
  <si>
    <t>Achmadi Eko Saputro S.T.</t>
  </si>
  <si>
    <t>Dit Cipta Karya</t>
  </si>
  <si>
    <t xml:space="preserve">Alfian Lutfi Eky Sudarso </t>
  </si>
  <si>
    <t>Sinthia Dewi Junias S.T.</t>
  </si>
  <si>
    <t>Alter Pattikayhatu S.T.</t>
  </si>
  <si>
    <t>Aminah Manaray S.T.</t>
  </si>
  <si>
    <t>Elda Septiyani S.T., M.T.</t>
  </si>
  <si>
    <t>Direktorat Sanitasi, CK</t>
  </si>
  <si>
    <t>Maichel Manuel Layuk S.T.</t>
  </si>
  <si>
    <t>Balai PBPK Cipta Karya</t>
  </si>
  <si>
    <t>Nur Hikmah S.T.</t>
  </si>
  <si>
    <t>SRI UTAMI, ST.</t>
  </si>
  <si>
    <t>Martha Dianingtyas Adi Yudanti, S. Ars</t>
  </si>
  <si>
    <t>Dinas Perumahan Rakyat Permukiman dan Lingkungan Hidup Kabupaten Bengkayang</t>
  </si>
  <si>
    <t>Rengga Restu Ardana</t>
  </si>
  <si>
    <t>Dinas Pekerjaan Umum dan Penataan Ruang, Pertanahan, dan Perumahan Rakyat dan Kawasan Permukiman Kabupaten Belitung Timur</t>
  </si>
  <si>
    <t>Novia Fatma Annisa S.Ars.</t>
  </si>
  <si>
    <t>Agung Muspriyono, ST, MT</t>
  </si>
  <si>
    <t>Dinas Perumahan Rakyat, Kawasan Permukiman dan Pertanahan Kabupaten Bekasi</t>
  </si>
  <si>
    <t>Valdy Feri Rahmani S.T.</t>
  </si>
  <si>
    <t>M. Sando Herawan, S.T., M.T.</t>
  </si>
  <si>
    <t>Dinas Perumahan dan Kawasan Permukiman dan Pertanahan Kabupaten Bandung</t>
  </si>
  <si>
    <t>Ir. Andi Syaifuddin Arief, M.T.</t>
  </si>
  <si>
    <t>Wawan Guswantoro Saidan, S.T</t>
  </si>
  <si>
    <t>Dinas Pekerjaan Umum dan Penataan Ruang Kabupaten Banggai</t>
  </si>
  <si>
    <t>Ilham Wijaya, S.T</t>
  </si>
  <si>
    <t>Ferdian, ST, MT</t>
  </si>
  <si>
    <t>Yustian Tandi Padang Mangi A.Md.</t>
  </si>
  <si>
    <t>Ari Septayuda, S.T.</t>
  </si>
  <si>
    <t>Sutono, ST</t>
  </si>
  <si>
    <t>Dinas Perumahan, Kawasan Permukiman dan Lingkungan Hidup Kabupaten Banjarnegara</t>
  </si>
  <si>
    <t xml:space="preserve">Rahmah </t>
  </si>
  <si>
    <t>Dinas Pekerjaan Umum, Penataan Ruang dan Pertanahan / Bidang Cipta Karya Kabupaten Banjar</t>
  </si>
  <si>
    <t>Athiyyah Rieke Hisana S.T.</t>
  </si>
  <si>
    <t>Dinas Perumahan Kawasan Permukiman dan Pertanahanan Kabupaten Bangka Belitung</t>
  </si>
  <si>
    <t>Wahyu Sri Ningsih .ST .MM</t>
  </si>
  <si>
    <t>DISPERKIM KOTA SEMARANG</t>
  </si>
  <si>
    <t>Musthafa Halim</t>
  </si>
  <si>
    <t>Direktorat Bina Teknik Bangunan Gedung dan Penyehatan Lingkungan, Ditjen Cipta Karya</t>
  </si>
  <si>
    <t>Priadi Aridwasada S</t>
  </si>
  <si>
    <t>Diah Kusumaningrum</t>
  </si>
  <si>
    <t>Bidang Tata Bangunan dan Jasa Konstruksi Dinas Perumahan Rakyat, Kawasan Permukiman dan Cipta Karya Provinsi Jawa Timur</t>
  </si>
  <si>
    <t>Direktorat Kepatuhan Intern</t>
  </si>
  <si>
    <t>Anthony Magma Purwowidiatmoko</t>
  </si>
  <si>
    <t>BPBPK Banten</t>
  </si>
  <si>
    <t>Srianti Rutmana Fahyra, S.Tr.T.</t>
  </si>
  <si>
    <t>Balai Penataan Bangunan, Prasarana dan Kawasan Maluku Utara</t>
  </si>
  <si>
    <t>Ir. Ni Ketut Sudiani, ST., MT.</t>
  </si>
  <si>
    <t>Dinas pekerjaan umum dan penataan ruang kota denpasar</t>
  </si>
  <si>
    <t>Udi Kurniawan, S.T. M.T</t>
  </si>
  <si>
    <t>DInas Perumahan dan Kawasan Permukiman Kota Magelang</t>
  </si>
  <si>
    <t>Rofikhoh Eliyana</t>
  </si>
  <si>
    <t>Pemerintah Kota Bekasi / Dinas Perumahan Kawasan Permukiman dan Pertanahan Kota Bekasi</t>
  </si>
  <si>
    <t>JF Penata Laksana Penyehatan Lingkungan</t>
  </si>
  <si>
    <t>Abriyanto F Lapenangga</t>
  </si>
  <si>
    <t>Dinas Lingkungan Hidup dan Kehutanan Prov NTT</t>
  </si>
  <si>
    <t>Meylia maharani</t>
  </si>
  <si>
    <t>Dinas Pekerjaan Umum Cipta Karya, Perumahan dan Permukiman</t>
  </si>
  <si>
    <t>Rasmawati Bulo S.T.</t>
  </si>
  <si>
    <t xml:space="preserve">I Made Whidi Artha </t>
  </si>
  <si>
    <t>Ditjen Cpta Karya</t>
  </si>
  <si>
    <t>Vian Astara, ST</t>
  </si>
  <si>
    <t>Dinas Pekerjaan Umum dan Penataan Ruang Kabupaten Bengkayang</t>
  </si>
  <si>
    <t>Isrofi Iriano</t>
  </si>
  <si>
    <t>Amri Hidayat, ST</t>
  </si>
  <si>
    <t>Dinas Pekerjaan Umum dan Penataan Ruang Kabupaten Bengkalis</t>
  </si>
  <si>
    <t>Windu Wulandari</t>
  </si>
  <si>
    <t>Dinas Cipta Karya dan Tata Ruang Kabupaten Bekasi</t>
  </si>
  <si>
    <t>MUHAMMAD NOOR FAZRI EDISON, S.T.</t>
  </si>
  <si>
    <t>Dinas Pekerjaan Umum dan Penataan Ruang Kabupaten Barito Selatan</t>
  </si>
  <si>
    <t>Rizki Woro Indrastuti S.T.P., M.T.</t>
  </si>
  <si>
    <t>Yuni Dwi Setyaningsih, S.T</t>
  </si>
  <si>
    <t>Dinas Lingkungan Hidup Kabupaten Banyumas</t>
  </si>
  <si>
    <t>Muhammad Naufal Rafif</t>
  </si>
  <si>
    <t>DJ Cipta Karya</t>
  </si>
  <si>
    <t>Voilla Oktaviani, ST</t>
  </si>
  <si>
    <t>Dhahono Muliantoko, S.T</t>
  </si>
  <si>
    <t>Nur Laili Yustika, S.T.</t>
  </si>
  <si>
    <t>Novitasari Rahayuningtyas S.T.</t>
  </si>
  <si>
    <t>Slamet Riyadi Gamgulu S.T.</t>
  </si>
  <si>
    <t>Yoventus Sultan Palayukan S.T.</t>
  </si>
  <si>
    <t>Luse Benita, ST</t>
  </si>
  <si>
    <t>Budi Ardiansyah, S.T, M.M.</t>
  </si>
  <si>
    <t>Yulianus Sedik  S.T.</t>
  </si>
  <si>
    <t>Abdul Azis Harahap, S.T.</t>
  </si>
  <si>
    <t>Raida Hayati, S.T</t>
  </si>
  <si>
    <t>Ir. JEPPERNANDO SITUMORANG, S.T</t>
  </si>
  <si>
    <t>Dinas Pekerjaan Umum, Penataan Ruang, Perumahan dan Kawasan Pemukiman</t>
  </si>
  <si>
    <t>Ika Annisa Muthiatuningsih S.S.T.</t>
  </si>
  <si>
    <t>Direktorat Sanitasi, Direktorat Jenderal Cipta Karya</t>
  </si>
  <si>
    <t>Yusuf Daniel Kareth</t>
  </si>
  <si>
    <t>Amalia Syarafina S.T.</t>
  </si>
  <si>
    <t>Ahmad Febri Nirwan S.T.</t>
  </si>
  <si>
    <t>Cut Devi Mahlita</t>
  </si>
  <si>
    <t>Direktoat Jenderal CK</t>
  </si>
  <si>
    <t xml:space="preserve">Dhamar Abu Hafiz </t>
  </si>
  <si>
    <t>2) Apakah Anda sudah terdaftar sebagai anggota HPFP?</t>
  </si>
  <si>
    <t>3) Poster di atas menampilkan kerugian jika seseorang tidak bergabung ke dalam organisasi HPFP.</t>
  </si>
  <si>
    <t>4) Jika menerima undangan bergabung sebagai anggota HPFP, saya berniat menerimanya.</t>
  </si>
  <si>
    <t>5) Saya berniat menjadikan HPFP sebagai salah satu pilihan utama organisasi profesi saya.</t>
  </si>
  <si>
    <t>6) Jika ada sesi sosialisasi terkait HPFP, saya berniat hadir.</t>
  </si>
  <si>
    <t>7) Saya tidak berniat menuntaskan seluruh tahapan pendaftaran bergabung hingga status saya resmi menjadi anggota HPFP.</t>
  </si>
  <si>
    <t>8) Saya berniat merekomendasikan keanggotaan HPFP kepada rekan sejawat saya.</t>
  </si>
  <si>
    <t>Belum Terdaftar</t>
  </si>
  <si>
    <t>Total mengisi</t>
  </si>
  <si>
    <t>Sudah daftar</t>
  </si>
  <si>
    <t>Belum daftar</t>
  </si>
  <si>
    <t>Stimulus 1 - GAIN + MENTERI</t>
  </si>
  <si>
    <t>https://forms.gle/A5ni8q2oSYRzzvck6</t>
  </si>
  <si>
    <t>https://s.id/surveijf</t>
  </si>
  <si>
    <t>Stimulus 2 - GAIN + POLOS</t>
  </si>
  <si>
    <t>https://forms.gle/4CHYjFjtfBSp8ZRh6</t>
  </si>
  <si>
    <t>https://s.id/surveijf-kom</t>
  </si>
  <si>
    <t>Stimulus 3 - LOSS + MENTERI</t>
  </si>
  <si>
    <t>https://forms.gle/Yd47RKD6pZBLWn7C9</t>
  </si>
  <si>
    <t>https://s.id/surveijf-kom-2025</t>
  </si>
  <si>
    <t>Nomor WhatsApp/HP yang terhubung dengan akun GoPay / OVO (untuk pengiriman uang elektronik)</t>
  </si>
  <si>
    <t>Preferensi aplikasi pengiriman uang elektronik</t>
  </si>
  <si>
    <t>Apresiasi terkirim</t>
  </si>
  <si>
    <t>089658899124</t>
  </si>
  <si>
    <t>GoPay</t>
  </si>
  <si>
    <t>08170994330</t>
  </si>
  <si>
    <t>081327204214</t>
  </si>
  <si>
    <t>08123358581</t>
  </si>
  <si>
    <t>085776466814</t>
  </si>
  <si>
    <t>081294357745</t>
  </si>
  <si>
    <t>081253886674</t>
  </si>
  <si>
    <t>OVO</t>
  </si>
  <si>
    <t>087825300094</t>
  </si>
  <si>
    <t>081325606111</t>
  </si>
  <si>
    <t>087785161174</t>
  </si>
  <si>
    <t>081234497966</t>
  </si>
  <si>
    <t>082301732257</t>
  </si>
  <si>
    <t>081317223527</t>
  </si>
  <si>
    <t>082147038855</t>
  </si>
  <si>
    <t>081345401202</t>
  </si>
  <si>
    <t>085343432966</t>
  </si>
  <si>
    <t>082169727941</t>
  </si>
  <si>
    <t>087808746060</t>
  </si>
  <si>
    <t>082210917733</t>
  </si>
  <si>
    <t>081259806617</t>
  </si>
  <si>
    <t>085280512005</t>
  </si>
  <si>
    <t>085819956440</t>
  </si>
  <si>
    <t>082138320880</t>
  </si>
  <si>
    <t>08562697898</t>
  </si>
  <si>
    <t>085642384339</t>
  </si>
  <si>
    <t>081393008385</t>
  </si>
  <si>
    <t>082346853536</t>
  </si>
  <si>
    <t>085242328998</t>
  </si>
  <si>
    <t>081268888382</t>
  </si>
  <si>
    <t>081368005668</t>
  </si>
  <si>
    <t>085354619887</t>
  </si>
  <si>
    <t>085373658966</t>
  </si>
  <si>
    <t>082284564172</t>
  </si>
  <si>
    <t>081254073088</t>
  </si>
  <si>
    <t>087737834667</t>
  </si>
  <si>
    <t>082399133910</t>
  </si>
  <si>
    <t>082383227007</t>
  </si>
  <si>
    <t>085267544901</t>
  </si>
  <si>
    <t>081397401512</t>
  </si>
  <si>
    <t>085270022888</t>
  </si>
  <si>
    <t>Stimulus 4 - LOSS + POLOS</t>
  </si>
  <si>
    <t>https://forms.gle/Un5LVtdyFqpZPyQj6</t>
  </si>
  <si>
    <t>https://s.id/surveijf-kom-nov-2025</t>
  </si>
  <si>
    <t>Shabrina N.</t>
  </si>
  <si>
    <t>TOTAL</t>
  </si>
  <si>
    <t>TOTAL 164 Partisipan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</si>
</sst>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434343"/>
      <name val="Roboto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80000"/>
        <bgColor rgb="FF98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CCCCC"/>
        <bgColor rgb="FFCCCCCC"/>
      </patternFill>
    </fill>
    <fill>
      <patternFill patternType="solid">
        <fgColor rgb="FF5B3F86"/>
        <bgColor rgb="FF5B3F86"/>
      </patternFill>
    </fill>
    <fill>
      <patternFill patternType="solid">
        <fgColor rgb="FF356854"/>
        <bgColor rgb="FF356854"/>
      </patternFill>
    </fill>
    <fill>
      <patternFill patternType="solid">
        <fgColor rgb="FFB7B7B7"/>
        <bgColor rgb="FFB7B7B7"/>
      </patternFill>
    </fill>
    <fill>
      <patternFill patternType="solid">
        <fgColor rgb="FF9B3642"/>
        <bgColor rgb="FF9B3642"/>
      </patternFill>
    </fill>
    <fill>
      <patternFill patternType="solid">
        <fgColor rgb="FF34373B"/>
        <bgColor rgb="FF34373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1" fillId="7" borderId="0" xfId="0" applyFont="1" applyFill="1"/>
    <xf numFmtId="0" fontId="1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7" borderId="0" xfId="0" applyFont="1" applyFill="1" applyAlignment="1">
      <alignment vertical="center"/>
    </xf>
    <xf numFmtId="0" fontId="1" fillId="0" borderId="0" xfId="0" applyFont="1"/>
    <xf numFmtId="0" fontId="5" fillId="0" borderId="0" xfId="0" applyFont="1"/>
    <xf numFmtId="0" fontId="1" fillId="2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10" borderId="0" xfId="0" applyFont="1" applyFill="1"/>
    <xf numFmtId="0" fontId="6" fillId="2" borderId="0" xfId="0" applyFont="1" applyFill="1"/>
    <xf numFmtId="0" fontId="6" fillId="0" borderId="0" xfId="0" applyFont="1" applyAlignment="1">
      <alignment horizontal="right"/>
    </xf>
    <xf numFmtId="0" fontId="7" fillId="2" borderId="0" xfId="0" applyFont="1" applyFill="1"/>
    <xf numFmtId="0" fontId="3" fillId="11" borderId="0" xfId="0" applyFont="1" applyFill="1" applyAlignment="1">
      <alignment horizontal="left" vertical="center"/>
    </xf>
    <xf numFmtId="0" fontId="1" fillId="3" borderId="0" xfId="0" applyFont="1" applyFill="1"/>
    <xf numFmtId="0" fontId="3" fillId="12" borderId="0" xfId="0" applyFont="1" applyFill="1" applyAlignment="1">
      <alignment horizontal="left"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4373B"/>
          <bgColor rgb="FF34373B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name="GABUNGAN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Copy of Cleaning Responses 1-style" pivot="0" count="4" xr9:uid="{00000000-0011-0000-FFFF-FFFF01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Copy of Cleaning Responses 2-style" pivot="0" count="4" xr9:uid="{00000000-0011-0000-FFFF-FFFF02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Copy of Cleaning Responses 3-style" pivot="0" count="4" xr9:uid="{00000000-0011-0000-FFFF-FFFF03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Copy of Cleaning Responses 4-style" pivot="0" count="4" xr9:uid="{00000000-0011-0000-FFFF-FFFF04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9769C0-2BC5-43F1-AD88-4A2357C678BC}" name="Data_Gabungan7" displayName="Data_Gabungan7" ref="A1:R165">
  <autoFilter ref="A1:R165" xr:uid="{8C9769C0-2BC5-43F1-AD88-4A2357C678BC}"/>
  <tableColumns count="18">
    <tableColumn id="1" xr3:uid="{8A79FF87-1B38-4517-95B7-D9508EE50C10}" name="Kelompok Stimulus"/>
    <tableColumn id="2" xr3:uid="{71312604-B811-4D71-80E7-7A46A0E7A199}" name="Nama"/>
    <tableColumn id="3" xr3:uid="{2B81C704-24F9-4FE6-9A79-8D8378884C2B}" name="Usia (dalam tahun)"/>
    <tableColumn id="4" xr3:uid="{EF654B7D-7752-49E9-BD8F-854863B3299B}" name="Jenis Kelamin"/>
    <tableColumn id="5" xr3:uid="{49FBA7D5-585D-435F-B165-C1627F63A981}" name="Pendidikan Terakhir"/>
    <tableColumn id="6" xr3:uid="{787D026A-D1C2-4E94-878A-64A1FAA4052F}" name="Manipulation Check: Poster menampilkan kerugian jika seseorang tidak bergabung ke dalam organisasi HPFP."/>
    <tableColumn id="7" xr3:uid="{83C8302B-FC4F-43F6-B305-99CB26AB9C8E}" name="Y1) Jika menerima undangan bergabung sebagai anggota HPFP, saya berniat menerimanya."/>
    <tableColumn id="8" xr3:uid="{94B2C3E9-F645-4CAD-A495-914410658F72}" name="Y2) Saya berniat menjadikan HPFP sebagai salah satu pilihan utama organisasi profesi saya."/>
    <tableColumn id="9" xr3:uid="{479EA172-0FE6-48F6-8A6A-7864AF1586C1}" name="Y3) Jika ada sesi sosialisasi terkait HPFP, saya berniat hadir."/>
    <tableColumn id="10" xr3:uid="{3E755FEE-2030-4E24-A167-E6B2E4903F0E}" name="Y4) Saya berniat menuntaskan seluruh tahapan pendaftaran bergabung hingga status saya resmi menjadi anggota HPFP."/>
    <tableColumn id="11" xr3:uid="{13C068C0-C87A-4CC8-BB2F-BE1C2B457A43}" name="Y5) Saya berniat merekomendasikan keanggotaan HPFP kepada rekan sejawat saya."/>
    <tableColumn id="18" xr3:uid="{6DD341B9-0782-4F10-9EEE-1D07D0601F62}" name="TOTAL" dataDxfId="0">
      <calculatedColumnFormula>SUM(Data_Gabungan7[[#This Row],[Y1) Jika menerima undangan bergabung sebagai anggota HPFP, saya berniat menerimanya.]:[Y5) Saya berniat merekomendasikan keanggotaan HPFP kepada rekan sejawat saya.]])</calculatedColumnFormula>
    </tableColumn>
    <tableColumn id="12" xr3:uid="{DF000246-7227-4612-82CE-7CC56D41D374}" name="Status Kepegawaian ASN"/>
    <tableColumn id="13" xr3:uid="{2D465841-A399-4437-B9D2-1E1A69CF8197}" name="Instansi"/>
    <tableColumn id="14" xr3:uid="{6B206DF2-C61F-449C-A980-4B7905116BE0}" name="Unit Kerja dan Unit Organisasi"/>
    <tableColumn id="15" xr3:uid="{55C26D2A-173A-4525-801D-0FC0604F20D1}" name="Masa Kerja"/>
    <tableColumn id="16" xr3:uid="{A5768198-A4E8-4BAD-A0C0-0BBD3EA44DFC}" name="Jabatan Fungsional"/>
    <tableColumn id="17" xr3:uid="{26756884-D5D6-4FCE-B931-14F0B5FBCA1E}" name="Jenjang Jabatan Fungsional"/>
  </tableColumns>
  <tableStyleInfo name="GABUNG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Gabungan" displayName="Data_Gabungan" ref="A1:R165">
  <autoFilter ref="A1:R165" xr:uid="{00000000-0009-0000-0100-000001000000}"/>
  <tableColumns count="18">
    <tableColumn id="1" xr3:uid="{00000000-0010-0000-0000-000001000000}" name="Kelompok Stimulus"/>
    <tableColumn id="2" xr3:uid="{00000000-0010-0000-0000-000002000000}" name="Nama"/>
    <tableColumn id="3" xr3:uid="{00000000-0010-0000-0000-000003000000}" name="Usia (dalam tahun)"/>
    <tableColumn id="4" xr3:uid="{00000000-0010-0000-0000-000004000000}" name="Jenis Kelamin"/>
    <tableColumn id="5" xr3:uid="{00000000-0010-0000-0000-000005000000}" name="Pendidikan Terakhir"/>
    <tableColumn id="6" xr3:uid="{00000000-0010-0000-0000-000006000000}" name="Manipulation Check: Poster menampilkan kerugian jika seseorang tidak bergabung ke dalam organisasi HPFP."/>
    <tableColumn id="7" xr3:uid="{00000000-0010-0000-0000-000007000000}" name="Y1) Jika menerima undangan bergabung sebagai anggota HPFP, saya berniat menerimanya."/>
    <tableColumn id="8" xr3:uid="{00000000-0010-0000-0000-000008000000}" name="Y2) Saya berniat menjadikan HPFP sebagai salah satu pilihan utama organisasi profesi saya."/>
    <tableColumn id="9" xr3:uid="{00000000-0010-0000-0000-000009000000}" name="Y3) Jika ada sesi sosialisasi terkait HPFP, saya berniat hadir."/>
    <tableColumn id="10" xr3:uid="{00000000-0010-0000-0000-00000A000000}" name="Y4) Saya berniat menuntaskan seluruh tahapan pendaftaran bergabung hingga status saya resmi menjadi anggota HPFP."/>
    <tableColumn id="11" xr3:uid="{00000000-0010-0000-0000-00000B000000}" name="Y5) Saya berniat merekomendasikan keanggotaan HPFP kepada rekan sejawat saya."/>
    <tableColumn id="18" xr3:uid="{9F3DC872-840A-48E4-B59E-DBA64779F3C4}" name="TOTAL" dataDxfId="1">
      <calculatedColumnFormula>SUM(Data_Gabungan[[#This Row],[Y1) Jika menerima undangan bergabung sebagai anggota HPFP, saya berniat menerimanya.]:[Y5) Saya berniat merekomendasikan keanggotaan HPFP kepada rekan sejawat saya.]])</calculatedColumnFormula>
    </tableColumn>
    <tableColumn id="12" xr3:uid="{00000000-0010-0000-0000-00000C000000}" name="Status Kepegawaian ASN"/>
    <tableColumn id="13" xr3:uid="{00000000-0010-0000-0000-00000D000000}" name="Instansi"/>
    <tableColumn id="14" xr3:uid="{00000000-0010-0000-0000-00000E000000}" name="Unit Kerja dan Unit Organisasi"/>
    <tableColumn id="15" xr3:uid="{00000000-0010-0000-0000-00000F000000}" name="Masa Kerja"/>
    <tableColumn id="16" xr3:uid="{00000000-0010-0000-0000-000010000000}" name="Jabatan Fungsional"/>
    <tableColumn id="17" xr3:uid="{00000000-0010-0000-0000-000011000000}" name="Jenjang Jabatan Fungsional"/>
  </tableColumns>
  <tableStyleInfo name="GABUNG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lompok_Stimulus_1" displayName="Kelompok_Stimulus_1" ref="A1:Q43">
  <autoFilter ref="A1:Q43" xr:uid="{00000000-0009-0000-0100-000002000000}"/>
  <tableColumns count="17">
    <tableColumn id="1" xr3:uid="{00000000-0010-0000-0100-000001000000}" name="2) Apakah Anda sudah terdaftar sebagai anggota HPFP?"/>
    <tableColumn id="2" xr3:uid="{00000000-0010-0000-0100-000002000000}" name="3) Poster di atas menampilkan kerugian jika seseorang tidak bergabung ke dalam organisasi HPFP."/>
    <tableColumn id="3" xr3:uid="{00000000-0010-0000-0100-000003000000}" name="Nama"/>
    <tableColumn id="4" xr3:uid="{00000000-0010-0000-0100-000004000000}" name="Usia (dalam tahun)"/>
    <tableColumn id="5" xr3:uid="{00000000-0010-0000-0100-000005000000}" name="Jenis Kelamin"/>
    <tableColumn id="6" xr3:uid="{00000000-0010-0000-0100-000006000000}" name="Pendidikan Terakhir"/>
    <tableColumn id="7" xr3:uid="{00000000-0010-0000-0100-000007000000}" name="4) Jika menerima undangan bergabung sebagai anggota HPFP, saya berniat menerimanya."/>
    <tableColumn id="8" xr3:uid="{00000000-0010-0000-0100-000008000000}" name="5) Saya berniat menjadikan HPFP sebagai salah satu pilihan utama organisasi profesi saya."/>
    <tableColumn id="9" xr3:uid="{00000000-0010-0000-0100-000009000000}" name="6) Jika ada sesi sosialisasi terkait HPFP, saya berniat hadir."/>
    <tableColumn id="10" xr3:uid="{00000000-0010-0000-0100-00000A000000}" name="7) Saya tidak berniat menuntaskan seluruh tahapan pendaftaran bergabung hingga status saya resmi menjadi anggota HPFP."/>
    <tableColumn id="11" xr3:uid="{00000000-0010-0000-0100-00000B000000}" name="8) Saya berniat merekomendasikan keanggotaan HPFP kepada rekan sejawat saya."/>
    <tableColumn id="12" xr3:uid="{00000000-0010-0000-0100-00000C000000}" name="Status Kepegawaian ASN"/>
    <tableColumn id="13" xr3:uid="{00000000-0010-0000-0100-00000D000000}" name="Instansi"/>
    <tableColumn id="14" xr3:uid="{00000000-0010-0000-0100-00000E000000}" name="Unit Kerja dan Unit Organisasi"/>
    <tableColumn id="15" xr3:uid="{00000000-0010-0000-0100-00000F000000}" name="Masa Kerja"/>
    <tableColumn id="16" xr3:uid="{00000000-0010-0000-0100-000010000000}" name="Jabatan Fungsional"/>
    <tableColumn id="17" xr3:uid="{00000000-0010-0000-0100-000011000000}" name="Jenjang Jabatan Fungsional"/>
  </tableColumns>
  <tableStyleInfo name="Copy of Cleaning Responses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elompok_Stimulus_2" displayName="Kelompok_Stimulus_2" ref="A1:Q42">
  <autoFilter ref="A1:Q42" xr:uid="{00000000-0009-0000-0100-000003000000}"/>
  <tableColumns count="17">
    <tableColumn id="1" xr3:uid="{00000000-0010-0000-0200-000001000000}" name="2) Apakah Anda sudah terdaftar sebagai anggota HPFP?"/>
    <tableColumn id="2" xr3:uid="{00000000-0010-0000-0200-000002000000}" name="3) Poster di atas menampilkan kerugian jika seseorang tidak bergabung ke dalam organisasi HPFP."/>
    <tableColumn id="3" xr3:uid="{00000000-0010-0000-0200-000003000000}" name="Nama"/>
    <tableColumn id="4" xr3:uid="{00000000-0010-0000-0200-000004000000}" name="Usia (dalam tahun)"/>
    <tableColumn id="5" xr3:uid="{00000000-0010-0000-0200-000005000000}" name="Jenis Kelamin"/>
    <tableColumn id="6" xr3:uid="{00000000-0010-0000-0200-000006000000}" name="Pendidikan Terakhir"/>
    <tableColumn id="7" xr3:uid="{00000000-0010-0000-0200-000007000000}" name="4) Jika menerima undangan bergabung sebagai anggota HPFP, saya berniat menerimanya."/>
    <tableColumn id="8" xr3:uid="{00000000-0010-0000-0200-000008000000}" name="5) Saya berniat menjadikan HPFP sebagai salah satu pilihan utama organisasi profesi saya."/>
    <tableColumn id="9" xr3:uid="{00000000-0010-0000-0200-000009000000}" name="6) Jika ada sesi sosialisasi terkait HPFP, saya berniat hadir."/>
    <tableColumn id="10" xr3:uid="{00000000-0010-0000-0200-00000A000000}" name="7) Saya tidak berniat menuntaskan seluruh tahapan pendaftaran bergabung hingga status saya resmi menjadi anggota HPFP."/>
    <tableColumn id="11" xr3:uid="{00000000-0010-0000-0200-00000B000000}" name="8) Saya berniat merekomendasikan keanggotaan HPFP kepada rekan sejawat saya."/>
    <tableColumn id="12" xr3:uid="{00000000-0010-0000-0200-00000C000000}" name="Status Kepegawaian ASN"/>
    <tableColumn id="13" xr3:uid="{00000000-0010-0000-0200-00000D000000}" name="Instansi"/>
    <tableColumn id="14" xr3:uid="{00000000-0010-0000-0200-00000E000000}" name="Unit Kerja dan Unit Organisasi"/>
    <tableColumn id="15" xr3:uid="{00000000-0010-0000-0200-00000F000000}" name="Masa Kerja"/>
    <tableColumn id="16" xr3:uid="{00000000-0010-0000-0200-000010000000}" name="Jabatan Fungsional"/>
    <tableColumn id="17" xr3:uid="{00000000-0010-0000-0200-000011000000}" name="Jenjang Jabatan Fungsional"/>
  </tableColumns>
  <tableStyleInfo name="Copy of Cleaning Responses 2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elompok_Stimulus_3" displayName="Kelompok_Stimulus_3" ref="A1:Q42">
  <autoFilter ref="A1:Q42" xr:uid="{00000000-0009-0000-0100-000004000000}"/>
  <tableColumns count="17">
    <tableColumn id="1" xr3:uid="{00000000-0010-0000-0300-000001000000}" name="2) Apakah Anda sudah terdaftar sebagai anggota HPFP?"/>
    <tableColumn id="2" xr3:uid="{00000000-0010-0000-0300-000002000000}" name="3) Poster di atas menampilkan kerugian jika seseorang tidak bergabung ke dalam organisasi HPFP."/>
    <tableColumn id="3" xr3:uid="{00000000-0010-0000-0300-000003000000}" name="Nama"/>
    <tableColumn id="4" xr3:uid="{00000000-0010-0000-0300-000004000000}" name="Usia (dalam tahun)"/>
    <tableColumn id="5" xr3:uid="{00000000-0010-0000-0300-000005000000}" name="Jenis Kelamin"/>
    <tableColumn id="6" xr3:uid="{00000000-0010-0000-0300-000006000000}" name="Pendidikan Terakhir"/>
    <tableColumn id="7" xr3:uid="{00000000-0010-0000-0300-000007000000}" name="4) Jika menerima undangan bergabung sebagai anggota HPFP, saya berniat menerimanya."/>
    <tableColumn id="8" xr3:uid="{00000000-0010-0000-0300-000008000000}" name="5) Saya berniat menjadikan HPFP sebagai salah satu pilihan utama organisasi profesi saya."/>
    <tableColumn id="9" xr3:uid="{00000000-0010-0000-0300-000009000000}" name="6) Jika ada sesi sosialisasi terkait HPFP, saya berniat hadir."/>
    <tableColumn id="10" xr3:uid="{00000000-0010-0000-0300-00000A000000}" name="7) Saya tidak berniat menuntaskan seluruh tahapan pendaftaran bergabung hingga status saya resmi menjadi anggota HPFP."/>
    <tableColumn id="11" xr3:uid="{00000000-0010-0000-0300-00000B000000}" name="8) Saya berniat merekomendasikan keanggotaan HPFP kepada rekan sejawat saya."/>
    <tableColumn id="12" xr3:uid="{00000000-0010-0000-0300-00000C000000}" name="Status Kepegawaian ASN"/>
    <tableColumn id="13" xr3:uid="{00000000-0010-0000-0300-00000D000000}" name="Instansi"/>
    <tableColumn id="14" xr3:uid="{00000000-0010-0000-0300-00000E000000}" name="Unit Kerja dan Unit Organisasi"/>
    <tableColumn id="15" xr3:uid="{00000000-0010-0000-0300-00000F000000}" name="Masa Kerja"/>
    <tableColumn id="16" xr3:uid="{00000000-0010-0000-0300-000010000000}" name="Jabatan Fungsional"/>
    <tableColumn id="17" xr3:uid="{00000000-0010-0000-0300-000011000000}" name="Jenjang Jabatan Fungsional"/>
  </tableColumns>
  <tableStyleInfo name="Copy of Cleaning Responses 3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elompok_Stimulus_4" displayName="Kelompok_Stimulus_4" ref="A1:T41">
  <autoFilter ref="A1:T41" xr:uid="{00000000-0009-0000-0100-000005000000}"/>
  <tableColumns count="20">
    <tableColumn id="1" xr3:uid="{00000000-0010-0000-0400-000001000000}" name="2) Apakah Anda sudah terdaftar sebagai anggota HPFP?"/>
    <tableColumn id="2" xr3:uid="{00000000-0010-0000-0400-000002000000}" name="3) Poster di atas menampilkan kerugian jika seseorang tidak bergabung ke dalam organisasi HPFP."/>
    <tableColumn id="3" xr3:uid="{00000000-0010-0000-0400-000003000000}" name="Nama"/>
    <tableColumn id="4" xr3:uid="{00000000-0010-0000-0400-000004000000}" name="Usia (dalam tahun)"/>
    <tableColumn id="5" xr3:uid="{00000000-0010-0000-0400-000005000000}" name="Jenis Kelamin"/>
    <tableColumn id="6" xr3:uid="{00000000-0010-0000-0400-000006000000}" name="Pendidikan Terakhir"/>
    <tableColumn id="7" xr3:uid="{00000000-0010-0000-0400-000007000000}" name="4) Jika menerima undangan bergabung sebagai anggota HPFP, saya berniat menerimanya."/>
    <tableColumn id="8" xr3:uid="{00000000-0010-0000-0400-000008000000}" name="5) Saya berniat menjadikan HPFP sebagai salah satu pilihan utama organisasi profesi saya."/>
    <tableColumn id="9" xr3:uid="{00000000-0010-0000-0400-000009000000}" name="6) Jika ada sesi sosialisasi terkait HPFP, saya berniat hadir."/>
    <tableColumn id="10" xr3:uid="{00000000-0010-0000-0400-00000A000000}" name="7) Saya tidak berniat menuntaskan seluruh tahapan pendaftaran bergabung hingga status saya resmi menjadi anggota HPFP."/>
    <tableColumn id="11" xr3:uid="{00000000-0010-0000-0400-00000B000000}" name="8) Saya berniat merekomendasikan keanggotaan HPFP kepada rekan sejawat saya."/>
    <tableColumn id="12" xr3:uid="{00000000-0010-0000-0400-00000C000000}" name="Status Kepegawaian ASN"/>
    <tableColumn id="13" xr3:uid="{00000000-0010-0000-0400-00000D000000}" name="Instansi"/>
    <tableColumn id="14" xr3:uid="{00000000-0010-0000-0400-00000E000000}" name="Unit Kerja dan Unit Organisasi"/>
    <tableColumn id="15" xr3:uid="{00000000-0010-0000-0400-00000F000000}" name="Masa Kerja"/>
    <tableColumn id="16" xr3:uid="{00000000-0010-0000-0400-000010000000}" name="Jabatan Fungsional"/>
    <tableColumn id="17" xr3:uid="{00000000-0010-0000-0400-000011000000}" name="Jenjang Jabatan Fungsional"/>
    <tableColumn id="18" xr3:uid="{00000000-0010-0000-0400-000012000000}" name="Nomor WhatsApp/HP yang terhubung dengan akun GoPay / OVO (untuk pengiriman uang elektronik)"/>
    <tableColumn id="19" xr3:uid="{00000000-0010-0000-0400-000013000000}" name="Preferensi aplikasi pengiriman uang elektronik"/>
    <tableColumn id="20" xr3:uid="{00000000-0010-0000-0400-000014000000}" name="Apresiasi terkirim"/>
  </tableColumns>
  <tableStyleInfo name="Copy of Cleaning Responses 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s.id/surveijf" TargetMode="External"/><Relationship Id="rId1" Type="http://schemas.openxmlformats.org/officeDocument/2006/relationships/hyperlink" Target="https://forms.gle/A5ni8q2oSYRzzvck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s.id/surveijf-kom" TargetMode="External"/><Relationship Id="rId1" Type="http://schemas.openxmlformats.org/officeDocument/2006/relationships/hyperlink" Target="https://forms.gle/4CHYjFjtfBSp8ZRh6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s.id/surveijf-kom-2025" TargetMode="External"/><Relationship Id="rId1" Type="http://schemas.openxmlformats.org/officeDocument/2006/relationships/hyperlink" Target="https://forms.gle/Yd47RKD6pZBLWn7C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https://s.id/surveijf-kom-nov-2025" TargetMode="External"/><Relationship Id="rId1" Type="http://schemas.openxmlformats.org/officeDocument/2006/relationships/hyperlink" Target="https://forms.gle/Un5LVtdyFqpZPyQj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4DB0-2564-43B1-8F3D-09F0CB3D2E6E}">
  <dimension ref="A1:R165"/>
  <sheetViews>
    <sheetView tabSelected="1" workbookViewId="0">
      <selection activeCell="D5" sqref="D5"/>
    </sheetView>
  </sheetViews>
  <sheetFormatPr defaultColWidth="12.6640625" defaultRowHeight="12.75" x14ac:dyDescent="0.35"/>
  <cols>
    <col min="1" max="1" width="10.796875" customWidth="1"/>
    <col min="2" max="2" width="18.86328125" customWidth="1"/>
    <col min="3" max="3" width="8.19921875" customWidth="1"/>
    <col min="4" max="4" width="12.46484375" customWidth="1"/>
    <col min="5" max="5" width="14.46484375" customWidth="1"/>
    <col min="6" max="6" width="7.6640625" customWidth="1"/>
    <col min="7" max="7" width="8.19921875" customWidth="1"/>
    <col min="8" max="8" width="8.86328125" customWidth="1"/>
    <col min="9" max="9" width="7.86328125" customWidth="1"/>
    <col min="10" max="10" width="7.796875" customWidth="1"/>
    <col min="11" max="12" width="7.33203125" customWidth="1"/>
    <col min="13" max="13" width="9.796875" customWidth="1"/>
    <col min="14" max="14" width="18.86328125" customWidth="1"/>
    <col min="15" max="15" width="36.6640625" customWidth="1"/>
    <col min="16" max="16" width="18.86328125" customWidth="1"/>
    <col min="17" max="17" width="42" customWidth="1"/>
    <col min="18" max="18" width="24.53125" customWidth="1"/>
    <col min="19" max="23" width="18.86328125" customWidth="1"/>
  </cols>
  <sheetData>
    <row r="1" spans="1:18" ht="22.5" customHeight="1" x14ac:dyDescent="0.3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382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</row>
    <row r="2" spans="1:18" ht="22.5" customHeight="1" x14ac:dyDescent="0.35">
      <c r="A2" s="4">
        <v>1</v>
      </c>
      <c r="B2" s="4" t="s">
        <v>17</v>
      </c>
      <c r="C2" s="4">
        <v>43</v>
      </c>
      <c r="D2" s="4" t="s">
        <v>18</v>
      </c>
      <c r="E2" s="4" t="s">
        <v>19</v>
      </c>
      <c r="F2" s="5">
        <v>2</v>
      </c>
      <c r="G2" s="4">
        <v>5</v>
      </c>
      <c r="H2" s="4">
        <v>4</v>
      </c>
      <c r="I2" s="4">
        <v>5</v>
      </c>
      <c r="J2" s="4">
        <v>5</v>
      </c>
      <c r="K2" s="4">
        <v>5</v>
      </c>
      <c r="L2" s="4">
        <f>SUM(Data_Gabungan7[[#This Row],[Y1) Jika menerima undangan bergabung sebagai anggota HPFP, saya berniat menerimanya.]:[Y5) Saya berniat merekomendasikan keanggotaan HPFP kepada rekan sejawat saya.]])</f>
        <v>24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</row>
    <row r="3" spans="1:18" ht="22.5" customHeight="1" x14ac:dyDescent="0.35">
      <c r="A3" s="4">
        <v>1</v>
      </c>
      <c r="B3" s="4" t="s">
        <v>26</v>
      </c>
      <c r="C3" s="4">
        <v>48</v>
      </c>
      <c r="D3" s="4" t="s">
        <v>18</v>
      </c>
      <c r="E3" s="4" t="s">
        <v>19</v>
      </c>
      <c r="F3" s="5">
        <v>2</v>
      </c>
      <c r="G3" s="4">
        <v>5</v>
      </c>
      <c r="H3" s="4">
        <v>5</v>
      </c>
      <c r="I3" s="4">
        <v>5</v>
      </c>
      <c r="J3" s="4">
        <v>5</v>
      </c>
      <c r="K3" s="4">
        <v>5</v>
      </c>
      <c r="L3" s="4">
        <f>SUM(Data_Gabungan7[[#This Row],[Y1) Jika menerima undangan bergabung sebagai anggota HPFP, saya berniat menerimanya.]:[Y5) Saya berniat merekomendasikan keanggotaan HPFP kepada rekan sejawat saya.]])</f>
        <v>25</v>
      </c>
      <c r="M3" s="4" t="s">
        <v>20</v>
      </c>
      <c r="N3" s="4" t="s">
        <v>21</v>
      </c>
      <c r="O3" s="4" t="s">
        <v>27</v>
      </c>
      <c r="P3" s="4" t="s">
        <v>23</v>
      </c>
      <c r="Q3" s="4" t="s">
        <v>28</v>
      </c>
      <c r="R3" s="4" t="s">
        <v>25</v>
      </c>
    </row>
    <row r="4" spans="1:18" ht="22.5" customHeight="1" x14ac:dyDescent="0.35">
      <c r="A4" s="4">
        <v>1</v>
      </c>
      <c r="B4" s="4" t="s">
        <v>29</v>
      </c>
      <c r="C4" s="4">
        <v>39</v>
      </c>
      <c r="D4" s="4" t="s">
        <v>18</v>
      </c>
      <c r="E4" s="4" t="s">
        <v>19</v>
      </c>
      <c r="F4" s="5">
        <v>1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f>SUM(Data_Gabungan7[[#This Row],[Y1) Jika menerima undangan bergabung sebagai anggota HPFP, saya berniat menerimanya.]:[Y5) Saya berniat merekomendasikan keanggotaan HPFP kepada rekan sejawat saya.]])</f>
        <v>25</v>
      </c>
      <c r="M4" s="4" t="s">
        <v>20</v>
      </c>
      <c r="N4" s="4" t="s">
        <v>21</v>
      </c>
      <c r="O4" s="4" t="s">
        <v>30</v>
      </c>
      <c r="P4" s="4" t="s">
        <v>23</v>
      </c>
      <c r="Q4" s="4" t="s">
        <v>24</v>
      </c>
      <c r="R4" s="4" t="s">
        <v>25</v>
      </c>
    </row>
    <row r="5" spans="1:18" ht="22.5" customHeight="1" x14ac:dyDescent="0.35">
      <c r="A5" s="4">
        <v>1</v>
      </c>
      <c r="B5" s="4" t="s">
        <v>31</v>
      </c>
      <c r="C5" s="4">
        <v>50</v>
      </c>
      <c r="D5" s="4" t="s">
        <v>18</v>
      </c>
      <c r="E5" s="4" t="s">
        <v>19</v>
      </c>
      <c r="F5" s="5">
        <v>1</v>
      </c>
      <c r="G5" s="4">
        <v>5</v>
      </c>
      <c r="H5" s="4">
        <v>5</v>
      </c>
      <c r="I5" s="4">
        <v>5</v>
      </c>
      <c r="J5" s="4">
        <v>5</v>
      </c>
      <c r="K5" s="4">
        <v>4</v>
      </c>
      <c r="L5" s="4">
        <f>SUM(Data_Gabungan7[[#This Row],[Y1) Jika menerima undangan bergabung sebagai anggota HPFP, saya berniat menerimanya.]:[Y5) Saya berniat merekomendasikan keanggotaan HPFP kepada rekan sejawat saya.]])</f>
        <v>24</v>
      </c>
      <c r="M5" s="4" t="s">
        <v>20</v>
      </c>
      <c r="N5" s="4" t="s">
        <v>21</v>
      </c>
      <c r="O5" s="4" t="s">
        <v>32</v>
      </c>
      <c r="P5" s="4" t="s">
        <v>33</v>
      </c>
      <c r="Q5" s="4" t="s">
        <v>24</v>
      </c>
      <c r="R5" s="4" t="s">
        <v>25</v>
      </c>
    </row>
    <row r="6" spans="1:18" ht="22.5" customHeight="1" x14ac:dyDescent="0.35">
      <c r="A6" s="4">
        <v>1</v>
      </c>
      <c r="B6" s="4" t="s">
        <v>34</v>
      </c>
      <c r="C6" s="4">
        <v>49</v>
      </c>
      <c r="D6" s="4" t="s">
        <v>18</v>
      </c>
      <c r="E6" s="4" t="s">
        <v>19</v>
      </c>
      <c r="F6" s="5">
        <v>3</v>
      </c>
      <c r="G6" s="4">
        <v>3</v>
      </c>
      <c r="H6" s="4">
        <v>4</v>
      </c>
      <c r="I6" s="4">
        <v>3</v>
      </c>
      <c r="J6" s="4">
        <v>5</v>
      </c>
      <c r="K6" s="4">
        <v>3</v>
      </c>
      <c r="L6" s="4">
        <f>SUM(Data_Gabungan7[[#This Row],[Y1) Jika menerima undangan bergabung sebagai anggota HPFP, saya berniat menerimanya.]:[Y5) Saya berniat merekomendasikan keanggotaan HPFP kepada rekan sejawat saya.]])</f>
        <v>18</v>
      </c>
      <c r="M6" s="4" t="s">
        <v>20</v>
      </c>
      <c r="N6" s="4" t="s">
        <v>21</v>
      </c>
      <c r="O6" s="4" t="s">
        <v>35</v>
      </c>
      <c r="P6" s="4" t="s">
        <v>23</v>
      </c>
      <c r="Q6" s="4" t="s">
        <v>28</v>
      </c>
      <c r="R6" s="4" t="s">
        <v>25</v>
      </c>
    </row>
    <row r="7" spans="1:18" ht="22.5" customHeight="1" x14ac:dyDescent="0.35">
      <c r="A7" s="4">
        <v>1</v>
      </c>
      <c r="B7" s="4" t="s">
        <v>36</v>
      </c>
      <c r="C7" s="4">
        <v>34</v>
      </c>
      <c r="D7" s="4" t="s">
        <v>37</v>
      </c>
      <c r="E7" s="4" t="s">
        <v>38</v>
      </c>
      <c r="F7" s="5">
        <v>1</v>
      </c>
      <c r="G7" s="4">
        <v>4</v>
      </c>
      <c r="H7" s="4">
        <v>4</v>
      </c>
      <c r="I7" s="4">
        <v>4</v>
      </c>
      <c r="J7" s="4">
        <v>4</v>
      </c>
      <c r="K7" s="4">
        <v>4</v>
      </c>
      <c r="L7" s="4">
        <f>SUM(Data_Gabungan7[[#This Row],[Y1) Jika menerima undangan bergabung sebagai anggota HPFP, saya berniat menerimanya.]:[Y5) Saya berniat merekomendasikan keanggotaan HPFP kepada rekan sejawat saya.]])</f>
        <v>20</v>
      </c>
      <c r="M7" s="4" t="s">
        <v>20</v>
      </c>
      <c r="N7" s="4" t="s">
        <v>21</v>
      </c>
      <c r="O7" s="4" t="s">
        <v>39</v>
      </c>
      <c r="P7" s="4" t="s">
        <v>40</v>
      </c>
      <c r="Q7" s="4" t="s">
        <v>28</v>
      </c>
      <c r="R7" s="4" t="s">
        <v>41</v>
      </c>
    </row>
    <row r="8" spans="1:18" ht="22.5" customHeight="1" x14ac:dyDescent="0.35">
      <c r="A8" s="4">
        <v>1</v>
      </c>
      <c r="B8" s="4" t="s">
        <v>42</v>
      </c>
      <c r="C8" s="4">
        <v>30</v>
      </c>
      <c r="D8" s="4" t="s">
        <v>18</v>
      </c>
      <c r="E8" s="4" t="s">
        <v>38</v>
      </c>
      <c r="F8" s="5">
        <v>3</v>
      </c>
      <c r="G8" s="4">
        <v>4</v>
      </c>
      <c r="H8" s="4">
        <v>5</v>
      </c>
      <c r="I8" s="4">
        <v>4</v>
      </c>
      <c r="J8" s="4">
        <v>5</v>
      </c>
      <c r="K8" s="4">
        <v>4</v>
      </c>
      <c r="L8" s="4">
        <f>SUM(Data_Gabungan7[[#This Row],[Y1) Jika menerima undangan bergabung sebagai anggota HPFP, saya berniat menerimanya.]:[Y5) Saya berniat merekomendasikan keanggotaan HPFP kepada rekan sejawat saya.]])</f>
        <v>22</v>
      </c>
      <c r="M8" s="4" t="s">
        <v>20</v>
      </c>
      <c r="N8" s="4" t="s">
        <v>43</v>
      </c>
      <c r="O8" s="4" t="s">
        <v>44</v>
      </c>
      <c r="P8" s="4" t="s">
        <v>40</v>
      </c>
      <c r="Q8" s="4" t="s">
        <v>24</v>
      </c>
      <c r="R8" s="4" t="s">
        <v>41</v>
      </c>
    </row>
    <row r="9" spans="1:18" ht="22.5" customHeight="1" x14ac:dyDescent="0.35">
      <c r="A9" s="4">
        <v>1</v>
      </c>
      <c r="B9" s="4" t="s">
        <v>45</v>
      </c>
      <c r="C9" s="4">
        <v>50</v>
      </c>
      <c r="D9" s="4" t="s">
        <v>18</v>
      </c>
      <c r="E9" s="4" t="s">
        <v>19</v>
      </c>
      <c r="F9" s="5">
        <v>2</v>
      </c>
      <c r="G9" s="4">
        <v>5</v>
      </c>
      <c r="H9" s="4">
        <v>4</v>
      </c>
      <c r="I9" s="4">
        <v>4</v>
      </c>
      <c r="J9" s="4">
        <v>4</v>
      </c>
      <c r="K9" s="4">
        <v>4</v>
      </c>
      <c r="L9" s="4">
        <f>SUM(Data_Gabungan7[[#This Row],[Y1) Jika menerima undangan bergabung sebagai anggota HPFP, saya berniat menerimanya.]:[Y5) Saya berniat merekomendasikan keanggotaan HPFP kepada rekan sejawat saya.]])</f>
        <v>21</v>
      </c>
      <c r="M9" s="4" t="s">
        <v>20</v>
      </c>
      <c r="N9" s="4" t="s">
        <v>43</v>
      </c>
      <c r="O9" s="4" t="s">
        <v>46</v>
      </c>
      <c r="P9" s="4" t="s">
        <v>33</v>
      </c>
      <c r="Q9" s="4" t="s">
        <v>24</v>
      </c>
      <c r="R9" s="4" t="s">
        <v>47</v>
      </c>
    </row>
    <row r="10" spans="1:18" ht="22.5" customHeight="1" x14ac:dyDescent="0.35">
      <c r="A10" s="4">
        <v>1</v>
      </c>
      <c r="B10" s="4" t="s">
        <v>48</v>
      </c>
      <c r="C10" s="4">
        <v>33</v>
      </c>
      <c r="D10" s="4" t="s">
        <v>18</v>
      </c>
      <c r="E10" s="4" t="s">
        <v>38</v>
      </c>
      <c r="F10" s="5">
        <v>1</v>
      </c>
      <c r="G10" s="4">
        <v>5</v>
      </c>
      <c r="H10" s="4">
        <v>3</v>
      </c>
      <c r="I10" s="4">
        <v>3</v>
      </c>
      <c r="J10" s="4">
        <v>3</v>
      </c>
      <c r="K10" s="4">
        <v>2</v>
      </c>
      <c r="L10" s="4">
        <f>SUM(Data_Gabungan7[[#This Row],[Y1) Jika menerima undangan bergabung sebagai anggota HPFP, saya berniat menerimanya.]:[Y5) Saya berniat merekomendasikan keanggotaan HPFP kepada rekan sejawat saya.]])</f>
        <v>16</v>
      </c>
      <c r="M10" s="4" t="s">
        <v>20</v>
      </c>
      <c r="N10" s="4" t="s">
        <v>21</v>
      </c>
      <c r="O10" s="4" t="s">
        <v>49</v>
      </c>
      <c r="P10" s="4" t="s">
        <v>40</v>
      </c>
      <c r="Q10" s="4" t="s">
        <v>24</v>
      </c>
      <c r="R10" s="4" t="s">
        <v>41</v>
      </c>
    </row>
    <row r="11" spans="1:18" ht="22.5" customHeight="1" x14ac:dyDescent="0.35">
      <c r="A11" s="4">
        <v>1</v>
      </c>
      <c r="B11" s="4" t="s">
        <v>50</v>
      </c>
      <c r="C11" s="4">
        <v>26</v>
      </c>
      <c r="D11" s="4" t="s">
        <v>18</v>
      </c>
      <c r="E11" s="4" t="s">
        <v>38</v>
      </c>
      <c r="F11" s="5">
        <v>3</v>
      </c>
      <c r="G11" s="4">
        <v>3</v>
      </c>
      <c r="H11" s="4">
        <v>3</v>
      </c>
      <c r="I11" s="4">
        <v>4</v>
      </c>
      <c r="J11" s="4">
        <v>3</v>
      </c>
      <c r="K11" s="4">
        <v>3</v>
      </c>
      <c r="L11" s="4">
        <f>SUM(Data_Gabungan7[[#This Row],[Y1) Jika menerima undangan bergabung sebagai anggota HPFP, saya berniat menerimanya.]:[Y5) Saya berniat merekomendasikan keanggotaan HPFP kepada rekan sejawat saya.]])</f>
        <v>16</v>
      </c>
      <c r="M11" s="4" t="s">
        <v>51</v>
      </c>
      <c r="N11" s="4" t="s">
        <v>21</v>
      </c>
      <c r="O11" s="4" t="s">
        <v>52</v>
      </c>
      <c r="P11" s="4" t="s">
        <v>53</v>
      </c>
      <c r="Q11" s="4" t="s">
        <v>24</v>
      </c>
      <c r="R11" s="4" t="s">
        <v>41</v>
      </c>
    </row>
    <row r="12" spans="1:18" ht="22.5" customHeight="1" x14ac:dyDescent="0.35">
      <c r="A12" s="4">
        <v>1</v>
      </c>
      <c r="B12" s="4" t="s">
        <v>54</v>
      </c>
      <c r="C12" s="4">
        <v>48</v>
      </c>
      <c r="D12" s="4" t="s">
        <v>37</v>
      </c>
      <c r="E12" s="4" t="s">
        <v>19</v>
      </c>
      <c r="F12" s="5">
        <v>2</v>
      </c>
      <c r="G12" s="4">
        <v>5</v>
      </c>
      <c r="H12" s="4">
        <v>5</v>
      </c>
      <c r="I12" s="4">
        <v>4</v>
      </c>
      <c r="J12" s="4">
        <v>5</v>
      </c>
      <c r="K12" s="4">
        <v>5</v>
      </c>
      <c r="L12" s="4">
        <f>SUM(Data_Gabungan7[[#This Row],[Y1) Jika menerima undangan bergabung sebagai anggota HPFP, saya berniat menerimanya.]:[Y5) Saya berniat merekomendasikan keanggotaan HPFP kepada rekan sejawat saya.]])</f>
        <v>24</v>
      </c>
      <c r="M12" s="4" t="s">
        <v>20</v>
      </c>
      <c r="N12" s="4" t="s">
        <v>21</v>
      </c>
      <c r="O12" s="4" t="s">
        <v>55</v>
      </c>
      <c r="P12" s="4" t="s">
        <v>33</v>
      </c>
      <c r="Q12" s="4" t="s">
        <v>24</v>
      </c>
      <c r="R12" s="4" t="s">
        <v>25</v>
      </c>
    </row>
    <row r="13" spans="1:18" ht="22.5" customHeight="1" x14ac:dyDescent="0.35">
      <c r="A13" s="4">
        <v>1</v>
      </c>
      <c r="B13" s="4" t="s">
        <v>56</v>
      </c>
      <c r="C13" s="4">
        <v>29</v>
      </c>
      <c r="D13" s="4" t="s">
        <v>37</v>
      </c>
      <c r="E13" s="4" t="s">
        <v>38</v>
      </c>
      <c r="F13" s="5">
        <v>2</v>
      </c>
      <c r="G13" s="4">
        <v>3</v>
      </c>
      <c r="H13" s="4">
        <v>3</v>
      </c>
      <c r="I13" s="4">
        <v>4</v>
      </c>
      <c r="J13" s="4">
        <v>4</v>
      </c>
      <c r="K13" s="4">
        <v>4</v>
      </c>
      <c r="L13" s="4">
        <f>SUM(Data_Gabungan7[[#This Row],[Y1) Jika menerima undangan bergabung sebagai anggota HPFP, saya berniat menerimanya.]:[Y5) Saya berniat merekomendasikan keanggotaan HPFP kepada rekan sejawat saya.]])</f>
        <v>18</v>
      </c>
      <c r="M13" s="4" t="s">
        <v>20</v>
      </c>
      <c r="N13" s="4" t="s">
        <v>21</v>
      </c>
      <c r="O13" s="4" t="s">
        <v>57</v>
      </c>
      <c r="P13" s="4" t="s">
        <v>53</v>
      </c>
      <c r="Q13" s="4" t="s">
        <v>28</v>
      </c>
      <c r="R13" s="4" t="s">
        <v>41</v>
      </c>
    </row>
    <row r="14" spans="1:18" ht="22.5" customHeight="1" x14ac:dyDescent="0.35">
      <c r="A14" s="4">
        <v>1</v>
      </c>
      <c r="B14" s="4" t="s">
        <v>58</v>
      </c>
      <c r="C14" s="4">
        <v>55</v>
      </c>
      <c r="D14" s="4" t="s">
        <v>18</v>
      </c>
      <c r="E14" s="4" t="s">
        <v>19</v>
      </c>
      <c r="F14" s="5">
        <v>2</v>
      </c>
      <c r="G14" s="4">
        <v>5</v>
      </c>
      <c r="H14" s="4">
        <v>5</v>
      </c>
      <c r="I14" s="4">
        <v>5</v>
      </c>
      <c r="J14" s="4">
        <v>5</v>
      </c>
      <c r="K14" s="4">
        <v>5</v>
      </c>
      <c r="L14" s="4">
        <f>SUM(Data_Gabungan7[[#This Row],[Y1) Jika menerima undangan bergabung sebagai anggota HPFP, saya berniat menerimanya.]:[Y5) Saya berniat merekomendasikan keanggotaan HPFP kepada rekan sejawat saya.]])</f>
        <v>25</v>
      </c>
      <c r="M14" s="4" t="s">
        <v>20</v>
      </c>
      <c r="N14" s="4" t="s">
        <v>43</v>
      </c>
      <c r="O14" s="4" t="s">
        <v>59</v>
      </c>
      <c r="P14" s="4" t="s">
        <v>33</v>
      </c>
      <c r="Q14" s="4" t="s">
        <v>28</v>
      </c>
      <c r="R14" s="4" t="s">
        <v>47</v>
      </c>
    </row>
    <row r="15" spans="1:18" ht="22.5" customHeight="1" x14ac:dyDescent="0.35">
      <c r="A15" s="4">
        <v>1</v>
      </c>
      <c r="B15" s="4" t="s">
        <v>60</v>
      </c>
      <c r="C15" s="4">
        <v>27</v>
      </c>
      <c r="D15" s="4" t="s">
        <v>37</v>
      </c>
      <c r="E15" s="4" t="s">
        <v>38</v>
      </c>
      <c r="F15" s="5">
        <v>2</v>
      </c>
      <c r="G15" s="4">
        <v>4</v>
      </c>
      <c r="H15" s="4">
        <v>4</v>
      </c>
      <c r="I15" s="4">
        <v>4</v>
      </c>
      <c r="J15" s="4">
        <v>3</v>
      </c>
      <c r="K15" s="4">
        <v>4</v>
      </c>
      <c r="L15" s="4">
        <f>SUM(Data_Gabungan7[[#This Row],[Y1) Jika menerima undangan bergabung sebagai anggota HPFP, saya berniat menerimanya.]:[Y5) Saya berniat merekomendasikan keanggotaan HPFP kepada rekan sejawat saya.]])</f>
        <v>19</v>
      </c>
      <c r="M15" s="4" t="s">
        <v>20</v>
      </c>
      <c r="N15" s="4" t="s">
        <v>21</v>
      </c>
      <c r="O15" s="4" t="s">
        <v>61</v>
      </c>
      <c r="P15" s="4" t="s">
        <v>53</v>
      </c>
      <c r="Q15" s="4" t="s">
        <v>28</v>
      </c>
      <c r="R15" s="4" t="s">
        <v>41</v>
      </c>
    </row>
    <row r="16" spans="1:18" ht="22.5" customHeight="1" x14ac:dyDescent="0.35">
      <c r="A16" s="4">
        <v>1</v>
      </c>
      <c r="B16" s="4" t="s">
        <v>62</v>
      </c>
      <c r="C16" s="4">
        <v>52</v>
      </c>
      <c r="D16" s="4" t="s">
        <v>37</v>
      </c>
      <c r="E16" s="4" t="s">
        <v>19</v>
      </c>
      <c r="F16" s="5">
        <v>4</v>
      </c>
      <c r="G16" s="4">
        <v>5</v>
      </c>
      <c r="H16" s="4">
        <v>5</v>
      </c>
      <c r="I16" s="4">
        <v>5</v>
      </c>
      <c r="J16" s="4">
        <v>3</v>
      </c>
      <c r="K16" s="4">
        <v>4</v>
      </c>
      <c r="L16" s="4">
        <f>SUM(Data_Gabungan7[[#This Row],[Y1) Jika menerima undangan bergabung sebagai anggota HPFP, saya berniat menerimanya.]:[Y5) Saya berniat merekomendasikan keanggotaan HPFP kepada rekan sejawat saya.]])</f>
        <v>22</v>
      </c>
      <c r="M16" s="4" t="s">
        <v>20</v>
      </c>
      <c r="N16" s="4" t="s">
        <v>21</v>
      </c>
      <c r="O16" s="4" t="s">
        <v>63</v>
      </c>
      <c r="P16" s="4" t="s">
        <v>33</v>
      </c>
      <c r="Q16" s="4" t="s">
        <v>28</v>
      </c>
      <c r="R16" s="4" t="s">
        <v>25</v>
      </c>
    </row>
    <row r="17" spans="1:18" ht="22.5" customHeight="1" x14ac:dyDescent="0.35">
      <c r="A17" s="4">
        <v>1</v>
      </c>
      <c r="B17" s="4" t="s">
        <v>64</v>
      </c>
      <c r="C17" s="4">
        <v>30</v>
      </c>
      <c r="D17" s="4" t="s">
        <v>18</v>
      </c>
      <c r="E17" s="4" t="s">
        <v>38</v>
      </c>
      <c r="F17" s="5">
        <v>2</v>
      </c>
      <c r="G17" s="4">
        <v>4</v>
      </c>
      <c r="H17" s="4">
        <v>2</v>
      </c>
      <c r="I17" s="4">
        <v>4</v>
      </c>
      <c r="J17" s="4">
        <v>4</v>
      </c>
      <c r="K17" s="4">
        <v>4</v>
      </c>
      <c r="L17" s="4">
        <f>SUM(Data_Gabungan7[[#This Row],[Y1) Jika menerima undangan bergabung sebagai anggota HPFP, saya berniat menerimanya.]:[Y5) Saya berniat merekomendasikan keanggotaan HPFP kepada rekan sejawat saya.]])</f>
        <v>18</v>
      </c>
      <c r="M17" s="4" t="s">
        <v>20</v>
      </c>
      <c r="N17" s="4" t="s">
        <v>43</v>
      </c>
      <c r="O17" s="4" t="s">
        <v>65</v>
      </c>
      <c r="P17" s="4" t="s">
        <v>40</v>
      </c>
      <c r="Q17" s="4" t="s">
        <v>28</v>
      </c>
      <c r="R17" s="4" t="s">
        <v>25</v>
      </c>
    </row>
    <row r="18" spans="1:18" ht="22.5" customHeight="1" x14ac:dyDescent="0.35">
      <c r="A18" s="4">
        <v>1</v>
      </c>
      <c r="B18" s="4" t="s">
        <v>66</v>
      </c>
      <c r="C18" s="4">
        <v>31</v>
      </c>
      <c r="D18" s="4" t="s">
        <v>37</v>
      </c>
      <c r="E18" s="4" t="s">
        <v>38</v>
      </c>
      <c r="F18" s="5">
        <v>1</v>
      </c>
      <c r="G18" s="4">
        <v>5</v>
      </c>
      <c r="H18" s="4">
        <v>5</v>
      </c>
      <c r="I18" s="4">
        <v>5</v>
      </c>
      <c r="J18" s="4">
        <v>5</v>
      </c>
      <c r="K18" s="4">
        <v>5</v>
      </c>
      <c r="L18" s="4">
        <f>SUM(Data_Gabungan7[[#This Row],[Y1) Jika menerima undangan bergabung sebagai anggota HPFP, saya berniat menerimanya.]:[Y5) Saya berniat merekomendasikan keanggotaan HPFP kepada rekan sejawat saya.]])</f>
        <v>25</v>
      </c>
      <c r="M18" s="4" t="s">
        <v>20</v>
      </c>
      <c r="N18" s="4" t="s">
        <v>43</v>
      </c>
      <c r="O18" s="4" t="s">
        <v>67</v>
      </c>
      <c r="P18" s="4" t="s">
        <v>40</v>
      </c>
      <c r="Q18" s="4" t="s">
        <v>28</v>
      </c>
      <c r="R18" s="4" t="s">
        <v>41</v>
      </c>
    </row>
    <row r="19" spans="1:18" ht="22.5" customHeight="1" x14ac:dyDescent="0.35">
      <c r="A19" s="4">
        <v>1</v>
      </c>
      <c r="B19" s="4" t="s">
        <v>68</v>
      </c>
      <c r="C19" s="4">
        <v>31</v>
      </c>
      <c r="D19" s="4" t="s">
        <v>18</v>
      </c>
      <c r="E19" s="4" t="s">
        <v>38</v>
      </c>
      <c r="F19" s="5">
        <v>1</v>
      </c>
      <c r="G19" s="4">
        <v>5</v>
      </c>
      <c r="H19" s="4">
        <v>5</v>
      </c>
      <c r="I19" s="4">
        <v>4</v>
      </c>
      <c r="J19" s="4">
        <v>5</v>
      </c>
      <c r="K19" s="4">
        <v>5</v>
      </c>
      <c r="L19" s="4">
        <f>SUM(Data_Gabungan7[[#This Row],[Y1) Jika menerima undangan bergabung sebagai anggota HPFP, saya berniat menerimanya.]:[Y5) Saya berniat merekomendasikan keanggotaan HPFP kepada rekan sejawat saya.]])</f>
        <v>24</v>
      </c>
      <c r="M19" s="4" t="s">
        <v>51</v>
      </c>
      <c r="N19" s="4" t="s">
        <v>43</v>
      </c>
      <c r="O19" s="4" t="s">
        <v>69</v>
      </c>
      <c r="P19" s="4" t="s">
        <v>53</v>
      </c>
      <c r="Q19" s="4" t="s">
        <v>28</v>
      </c>
      <c r="R19" s="4" t="s">
        <v>41</v>
      </c>
    </row>
    <row r="20" spans="1:18" ht="22.5" customHeight="1" x14ac:dyDescent="0.35">
      <c r="A20" s="4">
        <v>1</v>
      </c>
      <c r="B20" s="4" t="s">
        <v>70</v>
      </c>
      <c r="C20" s="4">
        <v>37</v>
      </c>
      <c r="D20" s="4" t="s">
        <v>18</v>
      </c>
      <c r="E20" s="4" t="s">
        <v>38</v>
      </c>
      <c r="F20" s="5">
        <v>3</v>
      </c>
      <c r="G20" s="4">
        <v>4</v>
      </c>
      <c r="H20" s="4">
        <v>5</v>
      </c>
      <c r="I20" s="4">
        <v>5</v>
      </c>
      <c r="J20" s="4">
        <v>5</v>
      </c>
      <c r="K20" s="4">
        <v>5</v>
      </c>
      <c r="L20" s="4">
        <f>SUM(Data_Gabungan7[[#This Row],[Y1) Jika menerima undangan bergabung sebagai anggota HPFP, saya berniat menerimanya.]:[Y5) Saya berniat merekomendasikan keanggotaan HPFP kepada rekan sejawat saya.]])</f>
        <v>24</v>
      </c>
      <c r="M20" s="4" t="s">
        <v>51</v>
      </c>
      <c r="N20" s="4" t="s">
        <v>43</v>
      </c>
      <c r="O20" s="4" t="s">
        <v>71</v>
      </c>
      <c r="P20" s="4" t="s">
        <v>53</v>
      </c>
      <c r="Q20" s="4" t="s">
        <v>24</v>
      </c>
      <c r="R20" s="4" t="s">
        <v>25</v>
      </c>
    </row>
    <row r="21" spans="1:18" ht="22.5" customHeight="1" x14ac:dyDescent="0.35">
      <c r="A21" s="4">
        <v>1</v>
      </c>
      <c r="B21" s="4" t="s">
        <v>72</v>
      </c>
      <c r="C21" s="4">
        <v>36</v>
      </c>
      <c r="D21" s="4" t="s">
        <v>37</v>
      </c>
      <c r="E21" s="4" t="s">
        <v>38</v>
      </c>
      <c r="F21" s="5">
        <v>1</v>
      </c>
      <c r="G21" s="4">
        <v>5</v>
      </c>
      <c r="H21" s="4">
        <v>4</v>
      </c>
      <c r="I21" s="4">
        <v>5</v>
      </c>
      <c r="J21" s="4">
        <v>4</v>
      </c>
      <c r="K21" s="4">
        <v>4</v>
      </c>
      <c r="L21" s="4">
        <f>SUM(Data_Gabungan7[[#This Row],[Y1) Jika menerima undangan bergabung sebagai anggota HPFP, saya berniat menerimanya.]:[Y5) Saya berniat merekomendasikan keanggotaan HPFP kepada rekan sejawat saya.]])</f>
        <v>22</v>
      </c>
      <c r="M21" s="4" t="s">
        <v>20</v>
      </c>
      <c r="N21" s="4" t="s">
        <v>43</v>
      </c>
      <c r="O21" s="4" t="s">
        <v>73</v>
      </c>
      <c r="P21" s="4" t="s">
        <v>40</v>
      </c>
      <c r="Q21" s="4" t="s">
        <v>24</v>
      </c>
      <c r="R21" s="4" t="s">
        <v>41</v>
      </c>
    </row>
    <row r="22" spans="1:18" ht="22.5" customHeight="1" x14ac:dyDescent="0.35">
      <c r="A22" s="4">
        <v>1</v>
      </c>
      <c r="B22" s="4" t="s">
        <v>74</v>
      </c>
      <c r="C22" s="4">
        <v>31</v>
      </c>
      <c r="D22" s="4" t="s">
        <v>37</v>
      </c>
      <c r="E22" s="4" t="s">
        <v>38</v>
      </c>
      <c r="F22" s="5">
        <v>2</v>
      </c>
      <c r="G22" s="4">
        <v>5</v>
      </c>
      <c r="H22" s="4">
        <v>5</v>
      </c>
      <c r="I22" s="4">
        <v>4</v>
      </c>
      <c r="J22" s="4">
        <v>5</v>
      </c>
      <c r="K22" s="4">
        <v>5</v>
      </c>
      <c r="L22" s="4">
        <f>SUM(Data_Gabungan7[[#This Row],[Y1) Jika menerima undangan bergabung sebagai anggota HPFP, saya berniat menerimanya.]:[Y5) Saya berniat merekomendasikan keanggotaan HPFP kepada rekan sejawat saya.]])</f>
        <v>24</v>
      </c>
      <c r="M22" s="4" t="s">
        <v>20</v>
      </c>
      <c r="N22" s="4" t="s">
        <v>43</v>
      </c>
      <c r="O22" s="4" t="s">
        <v>75</v>
      </c>
      <c r="P22" s="4" t="s">
        <v>40</v>
      </c>
      <c r="Q22" s="4" t="s">
        <v>28</v>
      </c>
      <c r="R22" s="4" t="s">
        <v>41</v>
      </c>
    </row>
    <row r="23" spans="1:18" ht="22.5" customHeight="1" x14ac:dyDescent="0.35">
      <c r="A23" s="4">
        <v>1</v>
      </c>
      <c r="B23" s="4" t="s">
        <v>76</v>
      </c>
      <c r="C23" s="4">
        <v>31</v>
      </c>
      <c r="D23" s="4" t="s">
        <v>37</v>
      </c>
      <c r="E23" s="4" t="s">
        <v>38</v>
      </c>
      <c r="F23" s="5">
        <v>1</v>
      </c>
      <c r="G23" s="4">
        <v>5</v>
      </c>
      <c r="H23" s="4">
        <v>5</v>
      </c>
      <c r="I23" s="4">
        <v>4</v>
      </c>
      <c r="J23" s="4">
        <v>5</v>
      </c>
      <c r="K23" s="4">
        <v>4</v>
      </c>
      <c r="L23" s="4">
        <f>SUM(Data_Gabungan7[[#This Row],[Y1) Jika menerima undangan bergabung sebagai anggota HPFP, saya berniat menerimanya.]:[Y5) Saya berniat merekomendasikan keanggotaan HPFP kepada rekan sejawat saya.]])</f>
        <v>23</v>
      </c>
      <c r="M23" s="4" t="s">
        <v>51</v>
      </c>
      <c r="N23" s="4" t="s">
        <v>43</v>
      </c>
      <c r="O23" s="4" t="s">
        <v>77</v>
      </c>
      <c r="P23" s="4" t="s">
        <v>53</v>
      </c>
      <c r="Q23" s="4" t="s">
        <v>28</v>
      </c>
      <c r="R23" s="4" t="s">
        <v>41</v>
      </c>
    </row>
    <row r="24" spans="1:18" ht="22.5" customHeight="1" x14ac:dyDescent="0.35">
      <c r="A24" s="4">
        <v>1</v>
      </c>
      <c r="B24" s="4" t="s">
        <v>78</v>
      </c>
      <c r="C24" s="4">
        <v>38</v>
      </c>
      <c r="D24" s="4" t="s">
        <v>18</v>
      </c>
      <c r="E24" s="4" t="s">
        <v>38</v>
      </c>
      <c r="F24" s="5">
        <v>2</v>
      </c>
      <c r="G24" s="4">
        <v>5</v>
      </c>
      <c r="H24" s="4">
        <v>5</v>
      </c>
      <c r="I24" s="4">
        <v>5</v>
      </c>
      <c r="J24" s="4">
        <v>5</v>
      </c>
      <c r="K24" s="4">
        <v>5</v>
      </c>
      <c r="L24" s="4">
        <f>SUM(Data_Gabungan7[[#This Row],[Y1) Jika menerima undangan bergabung sebagai anggota HPFP, saya berniat menerimanya.]:[Y5) Saya berniat merekomendasikan keanggotaan HPFP kepada rekan sejawat saya.]])</f>
        <v>25</v>
      </c>
      <c r="M24" s="4" t="s">
        <v>51</v>
      </c>
      <c r="N24" s="4" t="s">
        <v>43</v>
      </c>
      <c r="O24" s="4" t="s">
        <v>79</v>
      </c>
      <c r="P24" s="4" t="s">
        <v>53</v>
      </c>
      <c r="Q24" s="4" t="s">
        <v>24</v>
      </c>
      <c r="R24" s="4" t="s">
        <v>25</v>
      </c>
    </row>
    <row r="25" spans="1:18" ht="22.5" customHeight="1" x14ac:dyDescent="0.35">
      <c r="A25" s="4">
        <v>1</v>
      </c>
      <c r="B25" s="4" t="s">
        <v>80</v>
      </c>
      <c r="C25" s="4">
        <v>46</v>
      </c>
      <c r="D25" s="4" t="s">
        <v>18</v>
      </c>
      <c r="E25" s="4" t="s">
        <v>38</v>
      </c>
      <c r="F25" s="5">
        <v>2</v>
      </c>
      <c r="G25" s="4">
        <v>5</v>
      </c>
      <c r="H25" s="4">
        <v>4</v>
      </c>
      <c r="I25" s="4">
        <v>5</v>
      </c>
      <c r="J25" s="4">
        <v>5</v>
      </c>
      <c r="K25" s="4">
        <v>4</v>
      </c>
      <c r="L25" s="4">
        <f>SUM(Data_Gabungan7[[#This Row],[Y1) Jika menerima undangan bergabung sebagai anggota HPFP, saya berniat menerimanya.]:[Y5) Saya berniat merekomendasikan keanggotaan HPFP kepada rekan sejawat saya.]])</f>
        <v>23</v>
      </c>
      <c r="M25" s="4" t="s">
        <v>20</v>
      </c>
      <c r="N25" s="4" t="s">
        <v>43</v>
      </c>
      <c r="O25" s="4" t="s">
        <v>81</v>
      </c>
      <c r="P25" s="4" t="s">
        <v>23</v>
      </c>
      <c r="Q25" s="4" t="s">
        <v>28</v>
      </c>
      <c r="R25" s="4" t="s">
        <v>41</v>
      </c>
    </row>
    <row r="26" spans="1:18" ht="22.5" customHeight="1" x14ac:dyDescent="0.35">
      <c r="A26" s="4">
        <v>1</v>
      </c>
      <c r="B26" s="4" t="s">
        <v>82</v>
      </c>
      <c r="C26" s="4">
        <v>46</v>
      </c>
      <c r="D26" s="4" t="s">
        <v>18</v>
      </c>
      <c r="E26" s="4" t="s">
        <v>38</v>
      </c>
      <c r="F26" s="5">
        <v>1</v>
      </c>
      <c r="G26" s="4">
        <v>4</v>
      </c>
      <c r="H26" s="4">
        <v>4</v>
      </c>
      <c r="I26" s="4">
        <v>5</v>
      </c>
      <c r="J26" s="4">
        <v>5</v>
      </c>
      <c r="K26" s="4">
        <v>5</v>
      </c>
      <c r="L26" s="4">
        <f>SUM(Data_Gabungan7[[#This Row],[Y1) Jika menerima undangan bergabung sebagai anggota HPFP, saya berniat menerimanya.]:[Y5) Saya berniat merekomendasikan keanggotaan HPFP kepada rekan sejawat saya.]])</f>
        <v>23</v>
      </c>
      <c r="M26" s="4" t="s">
        <v>51</v>
      </c>
      <c r="N26" s="4" t="s">
        <v>43</v>
      </c>
      <c r="O26" s="4" t="s">
        <v>83</v>
      </c>
      <c r="P26" s="4" t="s">
        <v>53</v>
      </c>
      <c r="Q26" s="4" t="s">
        <v>24</v>
      </c>
      <c r="R26" s="4" t="s">
        <v>25</v>
      </c>
    </row>
    <row r="27" spans="1:18" ht="22.5" customHeight="1" x14ac:dyDescent="0.35">
      <c r="A27" s="4">
        <v>1</v>
      </c>
      <c r="B27" s="4" t="s">
        <v>84</v>
      </c>
      <c r="C27" s="4">
        <v>30</v>
      </c>
      <c r="D27" s="4" t="s">
        <v>18</v>
      </c>
      <c r="E27" s="4" t="s">
        <v>38</v>
      </c>
      <c r="F27" s="5">
        <v>1</v>
      </c>
      <c r="G27" s="4">
        <v>5</v>
      </c>
      <c r="H27" s="4">
        <v>5</v>
      </c>
      <c r="I27" s="4">
        <v>4</v>
      </c>
      <c r="J27" s="4">
        <v>5</v>
      </c>
      <c r="K27" s="4">
        <v>3</v>
      </c>
      <c r="L27" s="4">
        <f>SUM(Data_Gabungan7[[#This Row],[Y1) Jika menerima undangan bergabung sebagai anggota HPFP, saya berniat menerimanya.]:[Y5) Saya berniat merekomendasikan keanggotaan HPFP kepada rekan sejawat saya.]])</f>
        <v>22</v>
      </c>
      <c r="M27" s="4" t="s">
        <v>20</v>
      </c>
      <c r="N27" s="4" t="s">
        <v>43</v>
      </c>
      <c r="O27" s="4" t="s">
        <v>85</v>
      </c>
      <c r="P27" s="4" t="s">
        <v>40</v>
      </c>
      <c r="Q27" s="4" t="s">
        <v>24</v>
      </c>
      <c r="R27" s="4" t="s">
        <v>41</v>
      </c>
    </row>
    <row r="28" spans="1:18" ht="22.5" customHeight="1" x14ac:dyDescent="0.35">
      <c r="A28" s="4">
        <v>1</v>
      </c>
      <c r="B28" s="4" t="s">
        <v>86</v>
      </c>
      <c r="C28" s="4">
        <v>27</v>
      </c>
      <c r="D28" s="4" t="s">
        <v>18</v>
      </c>
      <c r="E28" s="4" t="s">
        <v>38</v>
      </c>
      <c r="F28" s="5">
        <v>2</v>
      </c>
      <c r="G28" s="4">
        <v>5</v>
      </c>
      <c r="H28" s="4">
        <v>4</v>
      </c>
      <c r="I28" s="4">
        <v>4</v>
      </c>
      <c r="J28" s="4">
        <v>4</v>
      </c>
      <c r="K28" s="4">
        <v>4</v>
      </c>
      <c r="L28" s="4">
        <f>SUM(Data_Gabungan7[[#This Row],[Y1) Jika menerima undangan bergabung sebagai anggota HPFP, saya berniat menerimanya.]:[Y5) Saya berniat merekomendasikan keanggotaan HPFP kepada rekan sejawat saya.]])</f>
        <v>21</v>
      </c>
      <c r="M28" s="4" t="s">
        <v>20</v>
      </c>
      <c r="N28" s="4" t="s">
        <v>43</v>
      </c>
      <c r="O28" s="4" t="s">
        <v>87</v>
      </c>
      <c r="P28" s="4" t="s">
        <v>53</v>
      </c>
      <c r="Q28" s="4" t="s">
        <v>24</v>
      </c>
      <c r="R28" s="4" t="s">
        <v>41</v>
      </c>
    </row>
    <row r="29" spans="1:18" ht="22.5" customHeight="1" x14ac:dyDescent="0.35">
      <c r="A29" s="4">
        <v>1</v>
      </c>
      <c r="B29" s="4" t="s">
        <v>88</v>
      </c>
      <c r="C29" s="4">
        <v>30</v>
      </c>
      <c r="D29" s="4" t="s">
        <v>37</v>
      </c>
      <c r="E29" s="4" t="s">
        <v>38</v>
      </c>
      <c r="F29" s="5">
        <v>1</v>
      </c>
      <c r="G29" s="4">
        <v>4</v>
      </c>
      <c r="H29" s="4">
        <v>4</v>
      </c>
      <c r="I29" s="4">
        <v>4</v>
      </c>
      <c r="J29" s="4">
        <v>5</v>
      </c>
      <c r="K29" s="4">
        <v>5</v>
      </c>
      <c r="L29" s="4">
        <f>SUM(Data_Gabungan7[[#This Row],[Y1) Jika menerima undangan bergabung sebagai anggota HPFP, saya berniat menerimanya.]:[Y5) Saya berniat merekomendasikan keanggotaan HPFP kepada rekan sejawat saya.]])</f>
        <v>22</v>
      </c>
      <c r="M29" s="4" t="s">
        <v>20</v>
      </c>
      <c r="N29" s="4" t="s">
        <v>43</v>
      </c>
      <c r="O29" s="4" t="s">
        <v>77</v>
      </c>
      <c r="P29" s="4" t="s">
        <v>40</v>
      </c>
      <c r="Q29" s="4" t="s">
        <v>24</v>
      </c>
      <c r="R29" s="4" t="s">
        <v>41</v>
      </c>
    </row>
    <row r="30" spans="1:18" ht="22.5" customHeight="1" x14ac:dyDescent="0.35">
      <c r="A30" s="4">
        <v>1</v>
      </c>
      <c r="B30" s="4" t="s">
        <v>89</v>
      </c>
      <c r="C30" s="4">
        <v>57</v>
      </c>
      <c r="D30" s="4" t="s">
        <v>18</v>
      </c>
      <c r="E30" s="4" t="s">
        <v>38</v>
      </c>
      <c r="F30" s="5">
        <v>2</v>
      </c>
      <c r="G30" s="4">
        <v>4</v>
      </c>
      <c r="H30" s="4">
        <v>5</v>
      </c>
      <c r="I30" s="4">
        <v>5</v>
      </c>
      <c r="J30" s="4">
        <v>4</v>
      </c>
      <c r="K30" s="4">
        <v>4</v>
      </c>
      <c r="L30" s="4">
        <f>SUM(Data_Gabungan7[[#This Row],[Y1) Jika menerima undangan bergabung sebagai anggota HPFP, saya berniat menerimanya.]:[Y5) Saya berniat merekomendasikan keanggotaan HPFP kepada rekan sejawat saya.]])</f>
        <v>22</v>
      </c>
      <c r="M30" s="4" t="s">
        <v>20</v>
      </c>
      <c r="N30" s="4" t="s">
        <v>43</v>
      </c>
      <c r="O30" s="4" t="s">
        <v>90</v>
      </c>
      <c r="P30" s="4" t="s">
        <v>33</v>
      </c>
      <c r="Q30" s="4" t="s">
        <v>24</v>
      </c>
      <c r="R30" s="4" t="s">
        <v>25</v>
      </c>
    </row>
    <row r="31" spans="1:18" ht="22.5" customHeight="1" x14ac:dyDescent="0.35">
      <c r="A31" s="4">
        <v>1</v>
      </c>
      <c r="B31" s="4" t="s">
        <v>91</v>
      </c>
      <c r="C31" s="4">
        <v>34</v>
      </c>
      <c r="D31" s="4" t="s">
        <v>37</v>
      </c>
      <c r="E31" s="4" t="s">
        <v>38</v>
      </c>
      <c r="F31" s="5">
        <v>2</v>
      </c>
      <c r="G31" s="4">
        <v>5</v>
      </c>
      <c r="H31" s="4">
        <v>4</v>
      </c>
      <c r="I31" s="4">
        <v>4</v>
      </c>
      <c r="J31" s="4">
        <v>4</v>
      </c>
      <c r="K31" s="4">
        <v>4</v>
      </c>
      <c r="L31" s="4">
        <f>SUM(Data_Gabungan7[[#This Row],[Y1) Jika menerima undangan bergabung sebagai anggota HPFP, saya berniat menerimanya.]:[Y5) Saya berniat merekomendasikan keanggotaan HPFP kepada rekan sejawat saya.]])</f>
        <v>21</v>
      </c>
      <c r="M31" s="4" t="s">
        <v>20</v>
      </c>
      <c r="N31" s="4" t="s">
        <v>21</v>
      </c>
      <c r="O31" s="4" t="s">
        <v>92</v>
      </c>
      <c r="P31" s="4" t="s">
        <v>40</v>
      </c>
      <c r="Q31" s="4" t="s">
        <v>28</v>
      </c>
      <c r="R31" s="4" t="s">
        <v>41</v>
      </c>
    </row>
    <row r="32" spans="1:18" ht="22.5" customHeight="1" x14ac:dyDescent="0.35">
      <c r="A32" s="4">
        <v>1</v>
      </c>
      <c r="B32" s="4" t="s">
        <v>93</v>
      </c>
      <c r="C32" s="4">
        <v>33</v>
      </c>
      <c r="D32" s="4" t="s">
        <v>18</v>
      </c>
      <c r="E32" s="4" t="s">
        <v>38</v>
      </c>
      <c r="F32" s="5">
        <v>1</v>
      </c>
      <c r="G32" s="4">
        <v>5</v>
      </c>
      <c r="H32" s="4">
        <v>5</v>
      </c>
      <c r="I32" s="4">
        <v>5</v>
      </c>
      <c r="J32" s="4">
        <v>4</v>
      </c>
      <c r="K32" s="4">
        <v>5</v>
      </c>
      <c r="L32" s="4">
        <f>SUM(Data_Gabungan7[[#This Row],[Y1) Jika menerima undangan bergabung sebagai anggota HPFP, saya berniat menerimanya.]:[Y5) Saya berniat merekomendasikan keanggotaan HPFP kepada rekan sejawat saya.]])</f>
        <v>24</v>
      </c>
      <c r="M32" s="4" t="s">
        <v>20</v>
      </c>
      <c r="N32" s="4" t="s">
        <v>21</v>
      </c>
      <c r="O32" s="4" t="s">
        <v>94</v>
      </c>
      <c r="P32" s="4" t="s">
        <v>40</v>
      </c>
      <c r="Q32" s="4" t="s">
        <v>24</v>
      </c>
      <c r="R32" s="4" t="s">
        <v>41</v>
      </c>
    </row>
    <row r="33" spans="1:18" ht="22.5" customHeight="1" x14ac:dyDescent="0.35">
      <c r="A33" s="4">
        <v>1</v>
      </c>
      <c r="B33" s="4" t="s">
        <v>95</v>
      </c>
      <c r="C33" s="4">
        <v>29</v>
      </c>
      <c r="D33" s="4" t="s">
        <v>37</v>
      </c>
      <c r="E33" s="4" t="s">
        <v>38</v>
      </c>
      <c r="F33" s="5">
        <v>1</v>
      </c>
      <c r="G33" s="4">
        <v>5</v>
      </c>
      <c r="H33" s="4">
        <v>4</v>
      </c>
      <c r="I33" s="4">
        <v>4</v>
      </c>
      <c r="J33" s="4">
        <v>4</v>
      </c>
      <c r="K33" s="4">
        <v>5</v>
      </c>
      <c r="L33" s="4">
        <f>SUM(Data_Gabungan7[[#This Row],[Y1) Jika menerima undangan bergabung sebagai anggota HPFP, saya berniat menerimanya.]:[Y5) Saya berniat merekomendasikan keanggotaan HPFP kepada rekan sejawat saya.]])</f>
        <v>22</v>
      </c>
      <c r="M33" s="4" t="s">
        <v>20</v>
      </c>
      <c r="N33" s="4" t="s">
        <v>43</v>
      </c>
      <c r="O33" s="4" t="s">
        <v>81</v>
      </c>
      <c r="P33" s="4" t="s">
        <v>40</v>
      </c>
      <c r="Q33" s="4" t="s">
        <v>24</v>
      </c>
      <c r="R33" s="4" t="s">
        <v>41</v>
      </c>
    </row>
    <row r="34" spans="1:18" ht="22.5" customHeight="1" x14ac:dyDescent="0.35">
      <c r="A34" s="4">
        <v>1</v>
      </c>
      <c r="B34" s="4" t="s">
        <v>96</v>
      </c>
      <c r="C34" s="4">
        <v>42</v>
      </c>
      <c r="D34" s="4" t="s">
        <v>18</v>
      </c>
      <c r="E34" s="4" t="s">
        <v>38</v>
      </c>
      <c r="F34" s="5">
        <v>1</v>
      </c>
      <c r="G34" s="4">
        <v>5</v>
      </c>
      <c r="H34" s="4">
        <v>5</v>
      </c>
      <c r="I34" s="4">
        <v>4</v>
      </c>
      <c r="J34" s="4">
        <v>5</v>
      </c>
      <c r="K34" s="4">
        <v>5</v>
      </c>
      <c r="L34" s="4">
        <f>SUM(Data_Gabungan7[[#This Row],[Y1) Jika menerima undangan bergabung sebagai anggota HPFP, saya berniat menerimanya.]:[Y5) Saya berniat merekomendasikan keanggotaan HPFP kepada rekan sejawat saya.]])</f>
        <v>24</v>
      </c>
      <c r="M34" s="4" t="s">
        <v>20</v>
      </c>
      <c r="N34" s="4" t="s">
        <v>43</v>
      </c>
      <c r="O34" s="4" t="s">
        <v>97</v>
      </c>
      <c r="P34" s="4" t="s">
        <v>23</v>
      </c>
      <c r="Q34" s="4" t="s">
        <v>24</v>
      </c>
      <c r="R34" s="4" t="s">
        <v>41</v>
      </c>
    </row>
    <row r="35" spans="1:18" ht="22.5" customHeight="1" x14ac:dyDescent="0.35">
      <c r="A35" s="4">
        <v>1</v>
      </c>
      <c r="B35" s="4" t="s">
        <v>98</v>
      </c>
      <c r="C35" s="4">
        <v>34</v>
      </c>
      <c r="D35" s="4" t="s">
        <v>37</v>
      </c>
      <c r="E35" s="4" t="s">
        <v>38</v>
      </c>
      <c r="F35" s="5">
        <v>2</v>
      </c>
      <c r="G35" s="4">
        <v>5</v>
      </c>
      <c r="H35" s="4">
        <v>4</v>
      </c>
      <c r="I35" s="4">
        <v>4</v>
      </c>
      <c r="J35" s="4">
        <v>5</v>
      </c>
      <c r="K35" s="4">
        <v>4</v>
      </c>
      <c r="L35" s="4">
        <f>SUM(Data_Gabungan7[[#This Row],[Y1) Jika menerima undangan bergabung sebagai anggota HPFP, saya berniat menerimanya.]:[Y5) Saya berniat merekomendasikan keanggotaan HPFP kepada rekan sejawat saya.]])</f>
        <v>22</v>
      </c>
      <c r="M35" s="4" t="s">
        <v>20</v>
      </c>
      <c r="N35" s="4" t="s">
        <v>43</v>
      </c>
      <c r="O35" s="4" t="s">
        <v>77</v>
      </c>
      <c r="P35" s="4" t="s">
        <v>23</v>
      </c>
      <c r="Q35" s="4" t="s">
        <v>24</v>
      </c>
      <c r="R35" s="4" t="s">
        <v>41</v>
      </c>
    </row>
    <row r="36" spans="1:18" ht="22.5" customHeight="1" x14ac:dyDescent="0.35">
      <c r="A36" s="4">
        <v>1</v>
      </c>
      <c r="B36" s="4" t="s">
        <v>99</v>
      </c>
      <c r="C36" s="4">
        <v>28</v>
      </c>
      <c r="D36" s="4" t="s">
        <v>18</v>
      </c>
      <c r="E36" s="4" t="s">
        <v>38</v>
      </c>
      <c r="F36" s="5">
        <v>1</v>
      </c>
      <c r="G36" s="4">
        <v>4</v>
      </c>
      <c r="H36" s="4">
        <v>5</v>
      </c>
      <c r="I36" s="4">
        <v>3</v>
      </c>
      <c r="J36" s="4">
        <v>4</v>
      </c>
      <c r="K36" s="4">
        <v>5</v>
      </c>
      <c r="L36" s="4">
        <f>SUM(Data_Gabungan7[[#This Row],[Y1) Jika menerima undangan bergabung sebagai anggota HPFP, saya berniat menerimanya.]:[Y5) Saya berniat merekomendasikan keanggotaan HPFP kepada rekan sejawat saya.]])</f>
        <v>21</v>
      </c>
      <c r="M36" s="4" t="s">
        <v>20</v>
      </c>
      <c r="N36" s="4" t="s">
        <v>43</v>
      </c>
      <c r="O36" s="4" t="s">
        <v>81</v>
      </c>
      <c r="P36" s="4" t="s">
        <v>40</v>
      </c>
      <c r="Q36" s="4" t="s">
        <v>24</v>
      </c>
      <c r="R36" s="4" t="s">
        <v>41</v>
      </c>
    </row>
    <row r="37" spans="1:18" ht="22.5" customHeight="1" x14ac:dyDescent="0.35">
      <c r="A37" s="4">
        <v>1</v>
      </c>
      <c r="B37" s="4" t="s">
        <v>100</v>
      </c>
      <c r="C37" s="4">
        <v>41</v>
      </c>
      <c r="D37" s="4" t="s">
        <v>18</v>
      </c>
      <c r="E37" s="4" t="s">
        <v>38</v>
      </c>
      <c r="F37" s="5">
        <v>3</v>
      </c>
      <c r="G37" s="4">
        <v>5</v>
      </c>
      <c r="H37" s="4">
        <v>4</v>
      </c>
      <c r="I37" s="4">
        <v>5</v>
      </c>
      <c r="J37" s="4">
        <v>4</v>
      </c>
      <c r="K37" s="4">
        <v>4</v>
      </c>
      <c r="L37" s="4">
        <f>SUM(Data_Gabungan7[[#This Row],[Y1) Jika menerima undangan bergabung sebagai anggota HPFP, saya berniat menerimanya.]:[Y5) Saya berniat merekomendasikan keanggotaan HPFP kepada rekan sejawat saya.]])</f>
        <v>22</v>
      </c>
      <c r="M37" s="4" t="s">
        <v>20</v>
      </c>
      <c r="N37" s="4" t="s">
        <v>21</v>
      </c>
      <c r="O37" s="4" t="s">
        <v>101</v>
      </c>
      <c r="P37" s="4" t="s">
        <v>33</v>
      </c>
      <c r="Q37" s="4" t="s">
        <v>24</v>
      </c>
      <c r="R37" s="4" t="s">
        <v>25</v>
      </c>
    </row>
    <row r="38" spans="1:18" ht="22.5" customHeight="1" x14ac:dyDescent="0.35">
      <c r="A38" s="4">
        <v>1</v>
      </c>
      <c r="B38" s="4" t="s">
        <v>102</v>
      </c>
      <c r="C38" s="4">
        <v>32</v>
      </c>
      <c r="D38" s="4" t="s">
        <v>18</v>
      </c>
      <c r="E38" s="4" t="s">
        <v>38</v>
      </c>
      <c r="F38" s="5">
        <v>1</v>
      </c>
      <c r="G38" s="4">
        <v>4</v>
      </c>
      <c r="H38" s="4">
        <v>4</v>
      </c>
      <c r="I38" s="4">
        <v>4</v>
      </c>
      <c r="J38" s="4">
        <v>4</v>
      </c>
      <c r="K38" s="4">
        <v>4</v>
      </c>
      <c r="L38" s="4">
        <f>SUM(Data_Gabungan7[[#This Row],[Y1) Jika menerima undangan bergabung sebagai anggota HPFP, saya berniat menerimanya.]:[Y5) Saya berniat merekomendasikan keanggotaan HPFP kepada rekan sejawat saya.]])</f>
        <v>20</v>
      </c>
      <c r="M38" s="4" t="s">
        <v>20</v>
      </c>
      <c r="N38" s="4" t="s">
        <v>43</v>
      </c>
      <c r="O38" s="4" t="s">
        <v>103</v>
      </c>
      <c r="P38" s="4" t="s">
        <v>40</v>
      </c>
      <c r="Q38" s="4" t="s">
        <v>24</v>
      </c>
      <c r="R38" s="4" t="s">
        <v>41</v>
      </c>
    </row>
    <row r="39" spans="1:18" ht="22.5" customHeight="1" x14ac:dyDescent="0.35">
      <c r="A39" s="4">
        <v>1</v>
      </c>
      <c r="B39" s="4" t="s">
        <v>104</v>
      </c>
      <c r="C39" s="4">
        <v>42</v>
      </c>
      <c r="D39" s="4" t="s">
        <v>18</v>
      </c>
      <c r="E39" s="4" t="s">
        <v>38</v>
      </c>
      <c r="F39" s="5">
        <v>2</v>
      </c>
      <c r="G39" s="4">
        <v>4</v>
      </c>
      <c r="H39" s="4">
        <v>4</v>
      </c>
      <c r="I39" s="4">
        <v>4</v>
      </c>
      <c r="J39" s="4">
        <v>5</v>
      </c>
      <c r="K39" s="4">
        <v>4</v>
      </c>
      <c r="L39" s="4">
        <f>SUM(Data_Gabungan7[[#This Row],[Y1) Jika menerima undangan bergabung sebagai anggota HPFP, saya berniat menerimanya.]:[Y5) Saya berniat merekomendasikan keanggotaan HPFP kepada rekan sejawat saya.]])</f>
        <v>21</v>
      </c>
      <c r="M39" s="4" t="s">
        <v>20</v>
      </c>
      <c r="N39" s="4" t="s">
        <v>21</v>
      </c>
      <c r="O39" s="4" t="s">
        <v>105</v>
      </c>
      <c r="P39" s="4" t="s">
        <v>33</v>
      </c>
      <c r="Q39" s="4" t="s">
        <v>24</v>
      </c>
      <c r="R39" s="4" t="s">
        <v>25</v>
      </c>
    </row>
    <row r="40" spans="1:18" ht="22.5" customHeight="1" x14ac:dyDescent="0.35">
      <c r="A40" s="4">
        <v>1</v>
      </c>
      <c r="B40" s="4" t="s">
        <v>106</v>
      </c>
      <c r="C40" s="4">
        <v>31</v>
      </c>
      <c r="D40" s="4" t="s">
        <v>18</v>
      </c>
      <c r="E40" s="4" t="s">
        <v>38</v>
      </c>
      <c r="F40" s="5">
        <v>1</v>
      </c>
      <c r="G40" s="4">
        <v>4</v>
      </c>
      <c r="H40" s="4">
        <v>5</v>
      </c>
      <c r="I40" s="4">
        <v>4</v>
      </c>
      <c r="J40" s="4">
        <v>4</v>
      </c>
      <c r="K40" s="4">
        <v>5</v>
      </c>
      <c r="L40" s="4">
        <f>SUM(Data_Gabungan7[[#This Row],[Y1) Jika menerima undangan bergabung sebagai anggota HPFP, saya berniat menerimanya.]:[Y5) Saya berniat merekomendasikan keanggotaan HPFP kepada rekan sejawat saya.]])</f>
        <v>22</v>
      </c>
      <c r="M40" s="4" t="s">
        <v>20</v>
      </c>
      <c r="N40" s="4" t="s">
        <v>21</v>
      </c>
      <c r="O40" s="4" t="s">
        <v>107</v>
      </c>
      <c r="P40" s="4" t="s">
        <v>40</v>
      </c>
      <c r="Q40" s="4" t="s">
        <v>24</v>
      </c>
      <c r="R40" s="4" t="s">
        <v>41</v>
      </c>
    </row>
    <row r="41" spans="1:18" ht="22.5" customHeight="1" x14ac:dyDescent="0.35">
      <c r="A41" s="4">
        <v>1</v>
      </c>
      <c r="B41" s="4" t="s">
        <v>108</v>
      </c>
      <c r="C41" s="4">
        <v>35</v>
      </c>
      <c r="D41" s="4" t="s">
        <v>18</v>
      </c>
      <c r="E41" s="4" t="s">
        <v>38</v>
      </c>
      <c r="F41" s="5">
        <v>2</v>
      </c>
      <c r="G41" s="4">
        <v>5</v>
      </c>
      <c r="H41" s="4">
        <v>4</v>
      </c>
      <c r="I41" s="4">
        <v>5</v>
      </c>
      <c r="J41" s="4">
        <v>4</v>
      </c>
      <c r="K41" s="4">
        <v>5</v>
      </c>
      <c r="L41" s="4">
        <f>SUM(Data_Gabungan7[[#This Row],[Y1) Jika menerima undangan bergabung sebagai anggota HPFP, saya berniat menerimanya.]:[Y5) Saya berniat merekomendasikan keanggotaan HPFP kepada rekan sejawat saya.]])</f>
        <v>23</v>
      </c>
      <c r="M41" s="4" t="s">
        <v>20</v>
      </c>
      <c r="N41" s="4" t="s">
        <v>43</v>
      </c>
      <c r="O41" s="4" t="s">
        <v>109</v>
      </c>
      <c r="P41" s="4" t="s">
        <v>40</v>
      </c>
      <c r="Q41" s="4" t="s">
        <v>28</v>
      </c>
      <c r="R41" s="4" t="s">
        <v>41</v>
      </c>
    </row>
    <row r="42" spans="1:18" ht="22.5" customHeight="1" x14ac:dyDescent="0.35">
      <c r="A42" s="4">
        <v>1</v>
      </c>
      <c r="B42" s="4" t="s">
        <v>110</v>
      </c>
      <c r="C42" s="4">
        <v>34</v>
      </c>
      <c r="D42" s="4" t="s">
        <v>18</v>
      </c>
      <c r="E42" s="4" t="s">
        <v>38</v>
      </c>
      <c r="F42" s="5">
        <v>1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f>SUM(Data_Gabungan7[[#This Row],[Y1) Jika menerima undangan bergabung sebagai anggota HPFP, saya berniat menerimanya.]:[Y5) Saya berniat merekomendasikan keanggotaan HPFP kepada rekan sejawat saya.]])</f>
        <v>20</v>
      </c>
      <c r="M42" s="4" t="s">
        <v>20</v>
      </c>
      <c r="N42" s="4" t="s">
        <v>43</v>
      </c>
      <c r="O42" s="4" t="s">
        <v>111</v>
      </c>
      <c r="P42" s="4" t="s">
        <v>40</v>
      </c>
      <c r="Q42" s="4" t="s">
        <v>24</v>
      </c>
      <c r="R42" s="4" t="s">
        <v>41</v>
      </c>
    </row>
    <row r="43" spans="1:18" ht="22.5" customHeight="1" x14ac:dyDescent="0.35">
      <c r="A43" s="4">
        <v>1</v>
      </c>
      <c r="B43" s="4" t="s">
        <v>112</v>
      </c>
      <c r="C43" s="4">
        <v>43</v>
      </c>
      <c r="D43" s="4" t="s">
        <v>18</v>
      </c>
      <c r="E43" s="4" t="s">
        <v>38</v>
      </c>
      <c r="F43" s="5">
        <v>2</v>
      </c>
      <c r="G43" s="4">
        <v>5</v>
      </c>
      <c r="H43" s="4">
        <v>4</v>
      </c>
      <c r="I43" s="4">
        <v>4</v>
      </c>
      <c r="J43" s="4">
        <v>5</v>
      </c>
      <c r="K43" s="4">
        <v>4</v>
      </c>
      <c r="L43" s="4">
        <f>SUM(Data_Gabungan7[[#This Row],[Y1) Jika menerima undangan bergabung sebagai anggota HPFP, saya berniat menerimanya.]:[Y5) Saya berniat merekomendasikan keanggotaan HPFP kepada rekan sejawat saya.]])</f>
        <v>22</v>
      </c>
      <c r="M43" s="4" t="s">
        <v>20</v>
      </c>
      <c r="N43" s="4" t="s">
        <v>21</v>
      </c>
      <c r="O43" s="4" t="s">
        <v>113</v>
      </c>
      <c r="P43" s="4" t="s">
        <v>23</v>
      </c>
      <c r="Q43" s="4" t="s">
        <v>24</v>
      </c>
      <c r="R43" s="4" t="s">
        <v>25</v>
      </c>
    </row>
    <row r="44" spans="1:18" ht="22.5" customHeight="1" x14ac:dyDescent="0.35">
      <c r="A44" s="4">
        <v>2</v>
      </c>
      <c r="B44" s="4" t="s">
        <v>114</v>
      </c>
      <c r="C44" s="4">
        <v>35</v>
      </c>
      <c r="D44" s="4" t="s">
        <v>18</v>
      </c>
      <c r="E44" s="4" t="s">
        <v>38</v>
      </c>
      <c r="F44" s="5">
        <v>2</v>
      </c>
      <c r="G44" s="4">
        <v>5</v>
      </c>
      <c r="H44" s="4">
        <v>4</v>
      </c>
      <c r="I44" s="4">
        <v>4</v>
      </c>
      <c r="J44" s="4">
        <v>4</v>
      </c>
      <c r="K44" s="4">
        <v>4</v>
      </c>
      <c r="L44" s="4">
        <f>SUM(Data_Gabungan7[[#This Row],[Y1) Jika menerima undangan bergabung sebagai anggota HPFP, saya berniat menerimanya.]:[Y5) Saya berniat merekomendasikan keanggotaan HPFP kepada rekan sejawat saya.]])</f>
        <v>21</v>
      </c>
      <c r="M44" s="4" t="s">
        <v>20</v>
      </c>
      <c r="N44" s="4" t="s">
        <v>21</v>
      </c>
      <c r="O44" s="4" t="s">
        <v>115</v>
      </c>
      <c r="P44" s="4" t="s">
        <v>40</v>
      </c>
      <c r="Q44" s="4" t="s">
        <v>24</v>
      </c>
      <c r="R44" s="4" t="s">
        <v>41</v>
      </c>
    </row>
    <row r="45" spans="1:18" ht="22.5" customHeight="1" x14ac:dyDescent="0.35">
      <c r="A45" s="4">
        <v>2</v>
      </c>
      <c r="B45" s="4" t="s">
        <v>116</v>
      </c>
      <c r="C45" s="4">
        <v>41</v>
      </c>
      <c r="D45" s="4" t="s">
        <v>18</v>
      </c>
      <c r="E45" s="4" t="s">
        <v>38</v>
      </c>
      <c r="F45" s="5">
        <v>2</v>
      </c>
      <c r="G45" s="4">
        <v>5</v>
      </c>
      <c r="H45" s="4">
        <v>5</v>
      </c>
      <c r="I45" s="4">
        <v>5</v>
      </c>
      <c r="J45" s="4">
        <v>5</v>
      </c>
      <c r="K45" s="4">
        <v>5</v>
      </c>
      <c r="L45" s="4">
        <f>SUM(Data_Gabungan7[[#This Row],[Y1) Jika menerima undangan bergabung sebagai anggota HPFP, saya berniat menerimanya.]:[Y5) Saya berniat merekomendasikan keanggotaan HPFP kepada rekan sejawat saya.]])</f>
        <v>25</v>
      </c>
      <c r="M45" s="4" t="s">
        <v>20</v>
      </c>
      <c r="N45" s="4" t="s">
        <v>21</v>
      </c>
      <c r="O45" s="4" t="s">
        <v>117</v>
      </c>
      <c r="P45" s="4" t="s">
        <v>33</v>
      </c>
      <c r="Q45" s="4" t="s">
        <v>24</v>
      </c>
      <c r="R45" s="4" t="s">
        <v>25</v>
      </c>
    </row>
    <row r="46" spans="1:18" ht="22.5" customHeight="1" x14ac:dyDescent="0.35">
      <c r="A46" s="4">
        <v>2</v>
      </c>
      <c r="B46" s="4" t="s">
        <v>118</v>
      </c>
      <c r="C46" s="4">
        <v>54</v>
      </c>
      <c r="D46" s="4" t="s">
        <v>18</v>
      </c>
      <c r="E46" s="4" t="s">
        <v>19</v>
      </c>
      <c r="F46" s="5">
        <v>1</v>
      </c>
      <c r="G46" s="4">
        <v>5</v>
      </c>
      <c r="H46" s="4">
        <v>5</v>
      </c>
      <c r="I46" s="4">
        <v>5</v>
      </c>
      <c r="J46" s="4">
        <v>5</v>
      </c>
      <c r="K46" s="4">
        <v>5</v>
      </c>
      <c r="L46" s="4">
        <f>SUM(Data_Gabungan7[[#This Row],[Y1) Jika menerima undangan bergabung sebagai anggota HPFP, saya berniat menerimanya.]:[Y5) Saya berniat merekomendasikan keanggotaan HPFP kepada rekan sejawat saya.]])</f>
        <v>25</v>
      </c>
      <c r="M46" s="4" t="s">
        <v>20</v>
      </c>
      <c r="N46" s="4" t="s">
        <v>21</v>
      </c>
      <c r="O46" s="4" t="s">
        <v>119</v>
      </c>
      <c r="P46" s="4" t="s">
        <v>33</v>
      </c>
      <c r="Q46" s="4" t="s">
        <v>28</v>
      </c>
      <c r="R46" s="4" t="s">
        <v>47</v>
      </c>
    </row>
    <row r="47" spans="1:18" ht="22.5" customHeight="1" x14ac:dyDescent="0.35">
      <c r="A47" s="4">
        <v>2</v>
      </c>
      <c r="B47" s="4" t="s">
        <v>120</v>
      </c>
      <c r="C47" s="4">
        <v>36</v>
      </c>
      <c r="D47" s="4" t="s">
        <v>37</v>
      </c>
      <c r="E47" s="4" t="s">
        <v>38</v>
      </c>
      <c r="F47" s="5">
        <v>4</v>
      </c>
      <c r="G47" s="4">
        <v>5</v>
      </c>
      <c r="H47" s="4">
        <v>5</v>
      </c>
      <c r="I47" s="4">
        <v>5</v>
      </c>
      <c r="J47" s="4">
        <v>5</v>
      </c>
      <c r="K47" s="4">
        <v>5</v>
      </c>
      <c r="L47" s="4">
        <f>SUM(Data_Gabungan7[[#This Row],[Y1) Jika menerima undangan bergabung sebagai anggota HPFP, saya berniat menerimanya.]:[Y5) Saya berniat merekomendasikan keanggotaan HPFP kepada rekan sejawat saya.]])</f>
        <v>25</v>
      </c>
      <c r="M47" s="4" t="s">
        <v>20</v>
      </c>
      <c r="N47" s="4" t="s">
        <v>21</v>
      </c>
      <c r="O47" s="4" t="s">
        <v>121</v>
      </c>
      <c r="P47" s="4" t="s">
        <v>40</v>
      </c>
      <c r="Q47" s="4" t="s">
        <v>24</v>
      </c>
      <c r="R47" s="4" t="s">
        <v>41</v>
      </c>
    </row>
    <row r="48" spans="1:18" ht="22.5" customHeight="1" x14ac:dyDescent="0.35">
      <c r="A48" s="4">
        <v>2</v>
      </c>
      <c r="B48" s="4" t="s">
        <v>122</v>
      </c>
      <c r="C48" s="4">
        <v>32</v>
      </c>
      <c r="D48" s="4" t="s">
        <v>18</v>
      </c>
      <c r="E48" s="4" t="s">
        <v>38</v>
      </c>
      <c r="F48" s="5">
        <v>1</v>
      </c>
      <c r="G48" s="4">
        <v>5</v>
      </c>
      <c r="H48" s="4">
        <v>4</v>
      </c>
      <c r="I48" s="4">
        <v>4</v>
      </c>
      <c r="J48" s="4">
        <v>4</v>
      </c>
      <c r="K48" s="4">
        <v>4</v>
      </c>
      <c r="L48" s="4">
        <f>SUM(Data_Gabungan7[[#This Row],[Y1) Jika menerima undangan bergabung sebagai anggota HPFP, saya berniat menerimanya.]:[Y5) Saya berniat merekomendasikan keanggotaan HPFP kepada rekan sejawat saya.]])</f>
        <v>21</v>
      </c>
      <c r="M48" s="4" t="s">
        <v>20</v>
      </c>
      <c r="N48" s="4" t="s">
        <v>21</v>
      </c>
      <c r="O48" s="4" t="s">
        <v>123</v>
      </c>
      <c r="P48" s="4" t="s">
        <v>53</v>
      </c>
      <c r="Q48" s="4" t="s">
        <v>124</v>
      </c>
      <c r="R48" s="4" t="s">
        <v>125</v>
      </c>
    </row>
    <row r="49" spans="1:18" ht="22.5" customHeight="1" x14ac:dyDescent="0.35">
      <c r="A49" s="4">
        <v>2</v>
      </c>
      <c r="B49" s="4" t="s">
        <v>126</v>
      </c>
      <c r="C49" s="4">
        <v>32</v>
      </c>
      <c r="D49" s="4" t="s">
        <v>18</v>
      </c>
      <c r="E49" s="4" t="s">
        <v>38</v>
      </c>
      <c r="F49" s="5">
        <v>4</v>
      </c>
      <c r="G49" s="4">
        <v>5</v>
      </c>
      <c r="H49" s="4">
        <v>4</v>
      </c>
      <c r="I49" s="4">
        <v>4</v>
      </c>
      <c r="J49" s="4">
        <v>5</v>
      </c>
      <c r="K49" s="4">
        <v>5</v>
      </c>
      <c r="L49" s="4">
        <f>SUM(Data_Gabungan7[[#This Row],[Y1) Jika menerima undangan bergabung sebagai anggota HPFP, saya berniat menerimanya.]:[Y5) Saya berniat merekomendasikan keanggotaan HPFP kepada rekan sejawat saya.]])</f>
        <v>23</v>
      </c>
      <c r="M49" s="4" t="s">
        <v>20</v>
      </c>
      <c r="N49" s="4" t="s">
        <v>43</v>
      </c>
      <c r="O49" s="4" t="s">
        <v>127</v>
      </c>
      <c r="P49" s="4" t="s">
        <v>40</v>
      </c>
      <c r="Q49" s="4" t="s">
        <v>24</v>
      </c>
      <c r="R49" s="4" t="s">
        <v>41</v>
      </c>
    </row>
    <row r="50" spans="1:18" ht="22.5" customHeight="1" x14ac:dyDescent="0.35">
      <c r="A50" s="4">
        <v>2</v>
      </c>
      <c r="B50" s="4" t="s">
        <v>128</v>
      </c>
      <c r="C50" s="4">
        <v>31</v>
      </c>
      <c r="D50" s="4" t="s">
        <v>37</v>
      </c>
      <c r="E50" s="4" t="s">
        <v>38</v>
      </c>
      <c r="F50" s="5">
        <v>1</v>
      </c>
      <c r="G50" s="4">
        <v>5</v>
      </c>
      <c r="H50" s="4">
        <v>4</v>
      </c>
      <c r="I50" s="4">
        <v>3</v>
      </c>
      <c r="J50" s="4">
        <v>5</v>
      </c>
      <c r="K50" s="4">
        <v>3</v>
      </c>
      <c r="L50" s="4">
        <f>SUM(Data_Gabungan7[[#This Row],[Y1) Jika menerima undangan bergabung sebagai anggota HPFP, saya berniat menerimanya.]:[Y5) Saya berniat merekomendasikan keanggotaan HPFP kepada rekan sejawat saya.]])</f>
        <v>20</v>
      </c>
      <c r="M50" s="4" t="s">
        <v>20</v>
      </c>
      <c r="N50" s="4" t="s">
        <v>43</v>
      </c>
      <c r="O50" s="4" t="s">
        <v>129</v>
      </c>
      <c r="P50" s="4" t="s">
        <v>40</v>
      </c>
      <c r="Q50" s="4" t="s">
        <v>24</v>
      </c>
      <c r="R50" s="4" t="s">
        <v>41</v>
      </c>
    </row>
    <row r="51" spans="1:18" ht="22.5" customHeight="1" x14ac:dyDescent="0.35">
      <c r="A51" s="4">
        <v>2</v>
      </c>
      <c r="B51" s="4" t="s">
        <v>130</v>
      </c>
      <c r="C51" s="4">
        <v>30</v>
      </c>
      <c r="D51" s="4" t="s">
        <v>18</v>
      </c>
      <c r="E51" s="4" t="s">
        <v>19</v>
      </c>
      <c r="F51" s="5">
        <v>2</v>
      </c>
      <c r="G51" s="4">
        <v>3</v>
      </c>
      <c r="H51" s="4">
        <v>2</v>
      </c>
      <c r="I51" s="4">
        <v>2</v>
      </c>
      <c r="J51" s="4">
        <v>3</v>
      </c>
      <c r="K51" s="4">
        <v>3</v>
      </c>
      <c r="L51" s="4">
        <f>SUM(Data_Gabungan7[[#This Row],[Y1) Jika menerima undangan bergabung sebagai anggota HPFP, saya berniat menerimanya.]:[Y5) Saya berniat merekomendasikan keanggotaan HPFP kepada rekan sejawat saya.]])</f>
        <v>13</v>
      </c>
      <c r="M51" s="4" t="s">
        <v>20</v>
      </c>
      <c r="N51" s="4" t="s">
        <v>21</v>
      </c>
      <c r="O51" s="4" t="s">
        <v>131</v>
      </c>
      <c r="P51" s="4" t="s">
        <v>40</v>
      </c>
      <c r="Q51" s="4" t="s">
        <v>24</v>
      </c>
      <c r="R51" s="4" t="s">
        <v>41</v>
      </c>
    </row>
    <row r="52" spans="1:18" ht="22.5" customHeight="1" x14ac:dyDescent="0.35">
      <c r="A52" s="4">
        <v>2</v>
      </c>
      <c r="B52" s="4" t="s">
        <v>132</v>
      </c>
      <c r="C52" s="4">
        <v>52</v>
      </c>
      <c r="D52" s="4" t="s">
        <v>18</v>
      </c>
      <c r="E52" s="4" t="s">
        <v>38</v>
      </c>
      <c r="F52" s="5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f>SUM(Data_Gabungan7[[#This Row],[Y1) Jika menerima undangan bergabung sebagai anggota HPFP, saya berniat menerimanya.]:[Y5) Saya berniat merekomendasikan keanggotaan HPFP kepada rekan sejawat saya.]])</f>
        <v>5</v>
      </c>
      <c r="M52" s="4" t="s">
        <v>20</v>
      </c>
      <c r="N52" s="4" t="s">
        <v>133</v>
      </c>
      <c r="O52" s="4" t="s">
        <v>134</v>
      </c>
      <c r="P52" s="4" t="s">
        <v>40</v>
      </c>
      <c r="Q52" s="4" t="s">
        <v>24</v>
      </c>
      <c r="R52" s="4" t="s">
        <v>25</v>
      </c>
    </row>
    <row r="53" spans="1:18" ht="22.5" customHeight="1" x14ac:dyDescent="0.35">
      <c r="A53" s="4">
        <v>2</v>
      </c>
      <c r="B53" s="4" t="s">
        <v>135</v>
      </c>
      <c r="C53" s="4">
        <v>24</v>
      </c>
      <c r="D53" s="4" t="s">
        <v>37</v>
      </c>
      <c r="E53" s="4" t="s">
        <v>38</v>
      </c>
      <c r="F53" s="5">
        <v>1</v>
      </c>
      <c r="G53" s="4">
        <v>4</v>
      </c>
      <c r="H53" s="4">
        <v>4</v>
      </c>
      <c r="I53" s="4">
        <v>4</v>
      </c>
      <c r="J53" s="4">
        <v>5</v>
      </c>
      <c r="K53" s="4">
        <v>4</v>
      </c>
      <c r="L53" s="4">
        <f>SUM(Data_Gabungan7[[#This Row],[Y1) Jika menerima undangan bergabung sebagai anggota HPFP, saya berniat menerimanya.]:[Y5) Saya berniat merekomendasikan keanggotaan HPFP kepada rekan sejawat saya.]])</f>
        <v>21</v>
      </c>
      <c r="M53" s="4" t="s">
        <v>20</v>
      </c>
      <c r="N53" s="4" t="s">
        <v>21</v>
      </c>
      <c r="O53" s="4" t="s">
        <v>136</v>
      </c>
      <c r="P53" s="4" t="s">
        <v>137</v>
      </c>
      <c r="Q53" s="4" t="s">
        <v>24</v>
      </c>
      <c r="R53" s="4" t="s">
        <v>41</v>
      </c>
    </row>
    <row r="54" spans="1:18" ht="22.5" customHeight="1" x14ac:dyDescent="0.35">
      <c r="A54" s="4">
        <v>2</v>
      </c>
      <c r="B54" s="4" t="s">
        <v>138</v>
      </c>
      <c r="C54" s="4">
        <v>44</v>
      </c>
      <c r="D54" s="4" t="s">
        <v>37</v>
      </c>
      <c r="E54" s="4" t="s">
        <v>19</v>
      </c>
      <c r="F54" s="5">
        <v>2</v>
      </c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4">
        <f>SUM(Data_Gabungan7[[#This Row],[Y1) Jika menerima undangan bergabung sebagai anggota HPFP, saya berniat menerimanya.]:[Y5) Saya berniat merekomendasikan keanggotaan HPFP kepada rekan sejawat saya.]])</f>
        <v>20</v>
      </c>
      <c r="M54" s="4" t="s">
        <v>20</v>
      </c>
      <c r="N54" s="4" t="s">
        <v>43</v>
      </c>
      <c r="O54" s="4" t="s">
        <v>139</v>
      </c>
      <c r="P54" s="4" t="s">
        <v>33</v>
      </c>
      <c r="Q54" s="4" t="s">
        <v>24</v>
      </c>
      <c r="R54" s="4" t="s">
        <v>47</v>
      </c>
    </row>
    <row r="55" spans="1:18" ht="22.5" customHeight="1" x14ac:dyDescent="0.35">
      <c r="A55" s="4">
        <v>2</v>
      </c>
      <c r="B55" s="4" t="s">
        <v>140</v>
      </c>
      <c r="C55" s="4">
        <v>37</v>
      </c>
      <c r="D55" s="4" t="s">
        <v>37</v>
      </c>
      <c r="E55" s="4" t="s">
        <v>19</v>
      </c>
      <c r="F55" s="5">
        <v>2</v>
      </c>
      <c r="G55" s="4">
        <v>5</v>
      </c>
      <c r="H55" s="4">
        <v>4</v>
      </c>
      <c r="I55" s="4">
        <v>4</v>
      </c>
      <c r="J55" s="4">
        <v>3</v>
      </c>
      <c r="K55" s="4">
        <v>5</v>
      </c>
      <c r="L55" s="4">
        <f>SUM(Data_Gabungan7[[#This Row],[Y1) Jika menerima undangan bergabung sebagai anggota HPFP, saya berniat menerimanya.]:[Y5) Saya berniat merekomendasikan keanggotaan HPFP kepada rekan sejawat saya.]])</f>
        <v>21</v>
      </c>
      <c r="M55" s="4" t="s">
        <v>20</v>
      </c>
      <c r="N55" s="4" t="s">
        <v>43</v>
      </c>
      <c r="O55" s="4" t="s">
        <v>141</v>
      </c>
      <c r="P55" s="4" t="s">
        <v>53</v>
      </c>
      <c r="Q55" s="4" t="s">
        <v>24</v>
      </c>
      <c r="R55" s="4" t="s">
        <v>25</v>
      </c>
    </row>
    <row r="56" spans="1:18" ht="22.5" customHeight="1" x14ac:dyDescent="0.35">
      <c r="A56" s="4">
        <v>2</v>
      </c>
      <c r="B56" s="4" t="s">
        <v>142</v>
      </c>
      <c r="C56" s="4">
        <v>46</v>
      </c>
      <c r="D56" s="4" t="s">
        <v>18</v>
      </c>
      <c r="E56" s="4" t="s">
        <v>19</v>
      </c>
      <c r="F56" s="5">
        <v>1</v>
      </c>
      <c r="G56" s="4">
        <v>4</v>
      </c>
      <c r="H56" s="4">
        <v>4</v>
      </c>
      <c r="I56" s="4">
        <v>4</v>
      </c>
      <c r="J56" s="4">
        <v>4</v>
      </c>
      <c r="K56" s="4">
        <v>4</v>
      </c>
      <c r="L56" s="4">
        <f>SUM(Data_Gabungan7[[#This Row],[Y1) Jika menerima undangan bergabung sebagai anggota HPFP, saya berniat menerimanya.]:[Y5) Saya berniat merekomendasikan keanggotaan HPFP kepada rekan sejawat saya.]])</f>
        <v>20</v>
      </c>
      <c r="M56" s="4" t="s">
        <v>20</v>
      </c>
      <c r="N56" s="4" t="s">
        <v>21</v>
      </c>
      <c r="O56" s="4" t="s">
        <v>143</v>
      </c>
      <c r="P56" s="4" t="s">
        <v>33</v>
      </c>
      <c r="Q56" s="4" t="s">
        <v>24</v>
      </c>
      <c r="R56" s="4" t="s">
        <v>25</v>
      </c>
    </row>
    <row r="57" spans="1:18" ht="22.5" customHeight="1" x14ac:dyDescent="0.35">
      <c r="A57" s="4">
        <v>2</v>
      </c>
      <c r="B57" s="4" t="s">
        <v>144</v>
      </c>
      <c r="C57" s="4">
        <v>32</v>
      </c>
      <c r="D57" s="4" t="s">
        <v>18</v>
      </c>
      <c r="E57" s="4" t="s">
        <v>38</v>
      </c>
      <c r="F57" s="5">
        <v>3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f>SUM(Data_Gabungan7[[#This Row],[Y1) Jika menerima undangan bergabung sebagai anggota HPFP, saya berniat menerimanya.]:[Y5) Saya berniat merekomendasikan keanggotaan HPFP kepada rekan sejawat saya.]])</f>
        <v>15</v>
      </c>
      <c r="M57" s="4" t="s">
        <v>20</v>
      </c>
      <c r="N57" s="4" t="s">
        <v>21</v>
      </c>
      <c r="O57" s="4" t="s">
        <v>145</v>
      </c>
      <c r="P57" s="4" t="s">
        <v>40</v>
      </c>
      <c r="Q57" s="4" t="s">
        <v>24</v>
      </c>
      <c r="R57" s="4" t="s">
        <v>41</v>
      </c>
    </row>
    <row r="58" spans="1:18" ht="22.5" customHeight="1" x14ac:dyDescent="0.35">
      <c r="A58" s="4">
        <v>2</v>
      </c>
      <c r="B58" s="4" t="s">
        <v>146</v>
      </c>
      <c r="C58" s="4">
        <v>48</v>
      </c>
      <c r="D58" s="4" t="s">
        <v>18</v>
      </c>
      <c r="E58" s="4" t="s">
        <v>38</v>
      </c>
      <c r="F58" s="5">
        <v>2</v>
      </c>
      <c r="G58" s="4">
        <v>5</v>
      </c>
      <c r="H58" s="4">
        <v>5</v>
      </c>
      <c r="I58" s="4">
        <v>5</v>
      </c>
      <c r="J58" s="4">
        <v>3</v>
      </c>
      <c r="K58" s="4">
        <v>5</v>
      </c>
      <c r="L58" s="4">
        <f>SUM(Data_Gabungan7[[#This Row],[Y1) Jika menerima undangan bergabung sebagai anggota HPFP, saya berniat menerimanya.]:[Y5) Saya berniat merekomendasikan keanggotaan HPFP kepada rekan sejawat saya.]])</f>
        <v>23</v>
      </c>
      <c r="M58" s="4" t="s">
        <v>20</v>
      </c>
      <c r="N58" s="4" t="s">
        <v>43</v>
      </c>
      <c r="O58" s="4" t="s">
        <v>147</v>
      </c>
      <c r="P58" s="4" t="s">
        <v>33</v>
      </c>
      <c r="Q58" s="4" t="s">
        <v>24</v>
      </c>
      <c r="R58" s="4" t="s">
        <v>25</v>
      </c>
    </row>
    <row r="59" spans="1:18" ht="22.5" customHeight="1" x14ac:dyDescent="0.35">
      <c r="A59" s="4">
        <v>2</v>
      </c>
      <c r="B59" s="4" t="s">
        <v>148</v>
      </c>
      <c r="C59" s="4">
        <v>37</v>
      </c>
      <c r="D59" s="4" t="s">
        <v>37</v>
      </c>
      <c r="E59" s="4" t="s">
        <v>38</v>
      </c>
      <c r="F59" s="5">
        <v>1</v>
      </c>
      <c r="G59" s="4">
        <v>4</v>
      </c>
      <c r="H59" s="4">
        <v>3</v>
      </c>
      <c r="I59" s="4">
        <v>4</v>
      </c>
      <c r="J59" s="4">
        <v>5</v>
      </c>
      <c r="K59" s="4">
        <v>5</v>
      </c>
      <c r="L59" s="4">
        <f>SUM(Data_Gabungan7[[#This Row],[Y1) Jika menerima undangan bergabung sebagai anggota HPFP, saya berniat menerimanya.]:[Y5) Saya berniat merekomendasikan keanggotaan HPFP kepada rekan sejawat saya.]])</f>
        <v>21</v>
      </c>
      <c r="M59" s="4" t="s">
        <v>20</v>
      </c>
      <c r="N59" s="4" t="s">
        <v>21</v>
      </c>
      <c r="O59" s="4" t="s">
        <v>149</v>
      </c>
      <c r="P59" s="4" t="s">
        <v>40</v>
      </c>
      <c r="Q59" s="4" t="s">
        <v>24</v>
      </c>
      <c r="R59" s="4" t="s">
        <v>41</v>
      </c>
    </row>
    <row r="60" spans="1:18" ht="22.5" customHeight="1" x14ac:dyDescent="0.35">
      <c r="A60" s="4">
        <v>2</v>
      </c>
      <c r="B60" s="4" t="s">
        <v>150</v>
      </c>
      <c r="C60" s="4">
        <v>31</v>
      </c>
      <c r="D60" s="4" t="s">
        <v>18</v>
      </c>
      <c r="E60" s="4" t="s">
        <v>38</v>
      </c>
      <c r="F60" s="5">
        <v>1</v>
      </c>
      <c r="G60" s="4">
        <v>3</v>
      </c>
      <c r="H60" s="4">
        <v>4</v>
      </c>
      <c r="I60" s="4">
        <v>4</v>
      </c>
      <c r="J60" s="4">
        <v>5</v>
      </c>
      <c r="K60" s="4">
        <v>5</v>
      </c>
      <c r="L60" s="4">
        <f>SUM(Data_Gabungan7[[#This Row],[Y1) Jika menerima undangan bergabung sebagai anggota HPFP, saya berniat menerimanya.]:[Y5) Saya berniat merekomendasikan keanggotaan HPFP kepada rekan sejawat saya.]])</f>
        <v>21</v>
      </c>
      <c r="M60" s="4" t="s">
        <v>51</v>
      </c>
      <c r="N60" s="4" t="s">
        <v>43</v>
      </c>
      <c r="O60" s="4" t="s">
        <v>151</v>
      </c>
      <c r="P60" s="4" t="s">
        <v>53</v>
      </c>
      <c r="Q60" s="4" t="s">
        <v>28</v>
      </c>
      <c r="R60" s="4" t="s">
        <v>25</v>
      </c>
    </row>
    <row r="61" spans="1:18" ht="22.5" customHeight="1" x14ac:dyDescent="0.35">
      <c r="A61" s="4">
        <v>2</v>
      </c>
      <c r="B61" s="4" t="s">
        <v>152</v>
      </c>
      <c r="C61" s="4">
        <v>47</v>
      </c>
      <c r="D61" s="4" t="s">
        <v>18</v>
      </c>
      <c r="E61" s="4" t="s">
        <v>19</v>
      </c>
      <c r="F61" s="5">
        <v>1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f>SUM(Data_Gabungan7[[#This Row],[Y1) Jika menerima undangan bergabung sebagai anggota HPFP, saya berniat menerimanya.]:[Y5) Saya berniat merekomendasikan keanggotaan HPFP kepada rekan sejawat saya.]])</f>
        <v>20</v>
      </c>
      <c r="M61" s="4" t="s">
        <v>20</v>
      </c>
      <c r="N61" s="4" t="s">
        <v>43</v>
      </c>
      <c r="O61" s="4" t="s">
        <v>153</v>
      </c>
      <c r="P61" s="4" t="s">
        <v>23</v>
      </c>
      <c r="Q61" s="4" t="s">
        <v>24</v>
      </c>
      <c r="R61" s="4" t="s">
        <v>41</v>
      </c>
    </row>
    <row r="62" spans="1:18" ht="22.5" customHeight="1" x14ac:dyDescent="0.35">
      <c r="A62" s="4">
        <v>2</v>
      </c>
      <c r="B62" s="4" t="s">
        <v>154</v>
      </c>
      <c r="C62" s="4">
        <v>40</v>
      </c>
      <c r="D62" s="4" t="s">
        <v>18</v>
      </c>
      <c r="E62" s="4" t="s">
        <v>38</v>
      </c>
      <c r="F62" s="5">
        <v>1</v>
      </c>
      <c r="G62" s="4">
        <v>4</v>
      </c>
      <c r="H62" s="4">
        <v>3</v>
      </c>
      <c r="I62" s="4">
        <v>4</v>
      </c>
      <c r="J62" s="4">
        <v>5</v>
      </c>
      <c r="K62" s="4">
        <v>5</v>
      </c>
      <c r="L62" s="4">
        <f>SUM(Data_Gabungan7[[#This Row],[Y1) Jika menerima undangan bergabung sebagai anggota HPFP, saya berniat menerimanya.]:[Y5) Saya berniat merekomendasikan keanggotaan HPFP kepada rekan sejawat saya.]])</f>
        <v>21</v>
      </c>
      <c r="M62" s="4" t="s">
        <v>51</v>
      </c>
      <c r="N62" s="4" t="s">
        <v>43</v>
      </c>
      <c r="O62" s="4" t="s">
        <v>83</v>
      </c>
      <c r="P62" s="4" t="s">
        <v>53</v>
      </c>
      <c r="Q62" s="4" t="s">
        <v>24</v>
      </c>
      <c r="R62" s="4" t="s">
        <v>41</v>
      </c>
    </row>
    <row r="63" spans="1:18" ht="22.5" customHeight="1" x14ac:dyDescent="0.35">
      <c r="A63" s="4">
        <v>2</v>
      </c>
      <c r="B63" s="4" t="s">
        <v>155</v>
      </c>
      <c r="C63" s="4">
        <v>34</v>
      </c>
      <c r="D63" s="4" t="s">
        <v>18</v>
      </c>
      <c r="E63" s="4" t="s">
        <v>38</v>
      </c>
      <c r="F63" s="5">
        <v>1</v>
      </c>
      <c r="G63" s="4">
        <v>4</v>
      </c>
      <c r="H63" s="4">
        <v>3</v>
      </c>
      <c r="I63" s="4">
        <v>4</v>
      </c>
      <c r="J63" s="4">
        <v>5</v>
      </c>
      <c r="K63" s="4">
        <v>4</v>
      </c>
      <c r="L63" s="4">
        <f>SUM(Data_Gabungan7[[#This Row],[Y1) Jika menerima undangan bergabung sebagai anggota HPFP, saya berniat menerimanya.]:[Y5) Saya berniat merekomendasikan keanggotaan HPFP kepada rekan sejawat saya.]])</f>
        <v>20</v>
      </c>
      <c r="M63" s="4" t="s">
        <v>51</v>
      </c>
      <c r="N63" s="4" t="s">
        <v>43</v>
      </c>
      <c r="O63" s="4" t="s">
        <v>67</v>
      </c>
      <c r="P63" s="4" t="s">
        <v>53</v>
      </c>
      <c r="Q63" s="4" t="s">
        <v>28</v>
      </c>
      <c r="R63" s="4" t="s">
        <v>25</v>
      </c>
    </row>
    <row r="64" spans="1:18" ht="22.5" customHeight="1" x14ac:dyDescent="0.35">
      <c r="A64" s="4">
        <v>2</v>
      </c>
      <c r="B64" s="4" t="s">
        <v>156</v>
      </c>
      <c r="C64" s="4">
        <v>29</v>
      </c>
      <c r="D64" s="4" t="s">
        <v>18</v>
      </c>
      <c r="E64" s="4" t="s">
        <v>38</v>
      </c>
      <c r="F64" s="5">
        <v>1</v>
      </c>
      <c r="G64" s="4">
        <v>4</v>
      </c>
      <c r="H64" s="4">
        <v>4</v>
      </c>
      <c r="I64" s="4">
        <v>5</v>
      </c>
      <c r="J64" s="4">
        <v>5</v>
      </c>
      <c r="K64" s="4">
        <v>4</v>
      </c>
      <c r="L64" s="4">
        <f>SUM(Data_Gabungan7[[#This Row],[Y1) Jika menerima undangan bergabung sebagai anggota HPFP, saya berniat menerimanya.]:[Y5) Saya berniat merekomendasikan keanggotaan HPFP kepada rekan sejawat saya.]])</f>
        <v>22</v>
      </c>
      <c r="M64" s="4" t="s">
        <v>20</v>
      </c>
      <c r="N64" s="4" t="s">
        <v>43</v>
      </c>
      <c r="O64" s="4" t="s">
        <v>67</v>
      </c>
      <c r="P64" s="4" t="s">
        <v>53</v>
      </c>
      <c r="Q64" s="4" t="s">
        <v>28</v>
      </c>
      <c r="R64" s="4" t="s">
        <v>41</v>
      </c>
    </row>
    <row r="65" spans="1:18" ht="22.5" customHeight="1" x14ac:dyDescent="0.35">
      <c r="A65" s="4">
        <v>2</v>
      </c>
      <c r="B65" s="4" t="s">
        <v>157</v>
      </c>
      <c r="C65" s="4">
        <v>29</v>
      </c>
      <c r="D65" s="4" t="s">
        <v>18</v>
      </c>
      <c r="E65" s="4" t="s">
        <v>38</v>
      </c>
      <c r="F65" s="5">
        <v>1</v>
      </c>
      <c r="G65" s="4">
        <v>3</v>
      </c>
      <c r="H65" s="4">
        <v>3</v>
      </c>
      <c r="I65" s="4">
        <v>4</v>
      </c>
      <c r="J65" s="4">
        <v>5</v>
      </c>
      <c r="K65" s="4">
        <v>4</v>
      </c>
      <c r="L65" s="4">
        <f>SUM(Data_Gabungan7[[#This Row],[Y1) Jika menerima undangan bergabung sebagai anggota HPFP, saya berniat menerimanya.]:[Y5) Saya berniat merekomendasikan keanggotaan HPFP kepada rekan sejawat saya.]])</f>
        <v>19</v>
      </c>
      <c r="M65" s="4" t="s">
        <v>20</v>
      </c>
      <c r="N65" s="4" t="s">
        <v>43</v>
      </c>
      <c r="O65" s="4" t="s">
        <v>77</v>
      </c>
      <c r="P65" s="4" t="s">
        <v>53</v>
      </c>
      <c r="Q65" s="4" t="s">
        <v>24</v>
      </c>
      <c r="R65" s="4" t="s">
        <v>41</v>
      </c>
    </row>
    <row r="66" spans="1:18" ht="22.5" customHeight="1" x14ac:dyDescent="0.35">
      <c r="A66" s="4">
        <v>2</v>
      </c>
      <c r="B66" s="4" t="s">
        <v>158</v>
      </c>
      <c r="C66" s="4">
        <v>34</v>
      </c>
      <c r="D66" s="4" t="s">
        <v>18</v>
      </c>
      <c r="E66" s="4" t="s">
        <v>38</v>
      </c>
      <c r="F66" s="5">
        <v>2</v>
      </c>
      <c r="G66" s="4">
        <v>4</v>
      </c>
      <c r="H66" s="4">
        <v>3</v>
      </c>
      <c r="I66" s="4">
        <v>4</v>
      </c>
      <c r="J66" s="4">
        <v>5</v>
      </c>
      <c r="K66" s="4">
        <v>5</v>
      </c>
      <c r="L66" s="4">
        <f>SUM(Data_Gabungan7[[#This Row],[Y1) Jika menerima undangan bergabung sebagai anggota HPFP, saya berniat menerimanya.]:[Y5) Saya berniat merekomendasikan keanggotaan HPFP kepada rekan sejawat saya.]])</f>
        <v>21</v>
      </c>
      <c r="M66" s="4" t="s">
        <v>20</v>
      </c>
      <c r="N66" s="4" t="s">
        <v>43</v>
      </c>
      <c r="O66" s="4" t="s">
        <v>71</v>
      </c>
      <c r="P66" s="4" t="s">
        <v>40</v>
      </c>
      <c r="Q66" s="4" t="s">
        <v>24</v>
      </c>
      <c r="R66" s="4" t="s">
        <v>41</v>
      </c>
    </row>
    <row r="67" spans="1:18" ht="22.5" customHeight="1" x14ac:dyDescent="0.35">
      <c r="A67" s="4">
        <v>2</v>
      </c>
      <c r="B67" s="4" t="s">
        <v>159</v>
      </c>
      <c r="C67" s="4">
        <v>31</v>
      </c>
      <c r="D67" s="4" t="s">
        <v>37</v>
      </c>
      <c r="E67" s="4" t="s">
        <v>38</v>
      </c>
      <c r="F67" s="5">
        <v>1</v>
      </c>
      <c r="G67" s="4">
        <v>4</v>
      </c>
      <c r="H67" s="4">
        <v>4</v>
      </c>
      <c r="I67" s="4">
        <v>3</v>
      </c>
      <c r="J67" s="4">
        <v>4</v>
      </c>
      <c r="K67" s="4">
        <v>4</v>
      </c>
      <c r="L67" s="4">
        <f>SUM(Data_Gabungan7[[#This Row],[Y1) Jika menerima undangan bergabung sebagai anggota HPFP, saya berniat menerimanya.]:[Y5) Saya berniat merekomendasikan keanggotaan HPFP kepada rekan sejawat saya.]])</f>
        <v>19</v>
      </c>
      <c r="M67" s="4" t="s">
        <v>51</v>
      </c>
      <c r="N67" s="4" t="s">
        <v>43</v>
      </c>
      <c r="O67" s="4" t="s">
        <v>160</v>
      </c>
      <c r="P67" s="4" t="s">
        <v>53</v>
      </c>
      <c r="Q67" s="4" t="s">
        <v>28</v>
      </c>
      <c r="R67" s="4" t="s">
        <v>41</v>
      </c>
    </row>
    <row r="68" spans="1:18" ht="22.5" customHeight="1" x14ac:dyDescent="0.35">
      <c r="A68" s="4">
        <v>2</v>
      </c>
      <c r="B68" s="4" t="s">
        <v>161</v>
      </c>
      <c r="C68" s="4">
        <v>59</v>
      </c>
      <c r="D68" s="4" t="s">
        <v>18</v>
      </c>
      <c r="E68" s="4" t="s">
        <v>162</v>
      </c>
      <c r="F68" s="5">
        <v>1</v>
      </c>
      <c r="G68" s="4">
        <v>4</v>
      </c>
      <c r="H68" s="4">
        <v>4</v>
      </c>
      <c r="I68" s="4">
        <v>5</v>
      </c>
      <c r="J68" s="4">
        <v>5</v>
      </c>
      <c r="K68" s="4">
        <v>3</v>
      </c>
      <c r="L68" s="4">
        <f>SUM(Data_Gabungan7[[#This Row],[Y1) Jika menerima undangan bergabung sebagai anggota HPFP, saya berniat menerimanya.]:[Y5) Saya berniat merekomendasikan keanggotaan HPFP kepada rekan sejawat saya.]])</f>
        <v>21</v>
      </c>
      <c r="M68" s="4" t="s">
        <v>20</v>
      </c>
      <c r="N68" s="4" t="s">
        <v>43</v>
      </c>
      <c r="O68" s="4" t="s">
        <v>163</v>
      </c>
      <c r="P68" s="4" t="s">
        <v>33</v>
      </c>
      <c r="Q68" s="4" t="s">
        <v>24</v>
      </c>
      <c r="R68" s="4" t="s">
        <v>47</v>
      </c>
    </row>
    <row r="69" spans="1:18" ht="22.5" customHeight="1" x14ac:dyDescent="0.35">
      <c r="A69" s="4">
        <v>2</v>
      </c>
      <c r="B69" s="4" t="s">
        <v>164</v>
      </c>
      <c r="C69" s="4">
        <v>51</v>
      </c>
      <c r="D69" s="4" t="s">
        <v>18</v>
      </c>
      <c r="E69" s="4" t="s">
        <v>19</v>
      </c>
      <c r="F69" s="5">
        <v>1</v>
      </c>
      <c r="G69" s="4">
        <v>4</v>
      </c>
      <c r="H69" s="4">
        <v>4</v>
      </c>
      <c r="I69" s="4">
        <v>4</v>
      </c>
      <c r="J69" s="4">
        <v>5</v>
      </c>
      <c r="K69" s="4">
        <v>3</v>
      </c>
      <c r="L69" s="4">
        <f>SUM(Data_Gabungan7[[#This Row],[Y1) Jika menerima undangan bergabung sebagai anggota HPFP, saya berniat menerimanya.]:[Y5) Saya berniat merekomendasikan keanggotaan HPFP kepada rekan sejawat saya.]])</f>
        <v>20</v>
      </c>
      <c r="M69" s="4" t="s">
        <v>20</v>
      </c>
      <c r="N69" s="4" t="s">
        <v>43</v>
      </c>
      <c r="O69" s="4" t="s">
        <v>83</v>
      </c>
      <c r="P69" s="4" t="s">
        <v>33</v>
      </c>
      <c r="Q69" s="4" t="s">
        <v>24</v>
      </c>
      <c r="R69" s="4" t="s">
        <v>25</v>
      </c>
    </row>
    <row r="70" spans="1:18" ht="22.5" customHeight="1" x14ac:dyDescent="0.35">
      <c r="A70" s="4">
        <v>2</v>
      </c>
      <c r="B70" s="4" t="s">
        <v>165</v>
      </c>
      <c r="C70" s="4">
        <v>35</v>
      </c>
      <c r="D70" s="4" t="s">
        <v>18</v>
      </c>
      <c r="E70" s="4" t="s">
        <v>38</v>
      </c>
      <c r="F70" s="5">
        <v>1</v>
      </c>
      <c r="G70" s="4">
        <v>4</v>
      </c>
      <c r="H70" s="4">
        <v>3</v>
      </c>
      <c r="I70" s="4">
        <v>4</v>
      </c>
      <c r="J70" s="4">
        <v>4</v>
      </c>
      <c r="K70" s="4">
        <v>4</v>
      </c>
      <c r="L70" s="4">
        <f>SUM(Data_Gabungan7[[#This Row],[Y1) Jika menerima undangan bergabung sebagai anggota HPFP, saya berniat menerimanya.]:[Y5) Saya berniat merekomendasikan keanggotaan HPFP kepada rekan sejawat saya.]])</f>
        <v>19</v>
      </c>
      <c r="M70" s="4" t="s">
        <v>51</v>
      </c>
      <c r="N70" s="4" t="s">
        <v>43</v>
      </c>
      <c r="O70" s="4" t="s">
        <v>166</v>
      </c>
      <c r="P70" s="4" t="s">
        <v>53</v>
      </c>
      <c r="Q70" s="4" t="s">
        <v>24</v>
      </c>
      <c r="R70" s="4" t="s">
        <v>41</v>
      </c>
    </row>
    <row r="71" spans="1:18" ht="22.5" customHeight="1" x14ac:dyDescent="0.35">
      <c r="A71" s="4">
        <v>2</v>
      </c>
      <c r="B71" s="4" t="s">
        <v>167</v>
      </c>
      <c r="C71" s="4">
        <v>27</v>
      </c>
      <c r="D71" s="4" t="s">
        <v>18</v>
      </c>
      <c r="E71" s="4" t="s">
        <v>38</v>
      </c>
      <c r="F71" s="5">
        <v>1</v>
      </c>
      <c r="G71" s="4">
        <v>4</v>
      </c>
      <c r="H71" s="4">
        <v>4</v>
      </c>
      <c r="I71" s="4">
        <v>3</v>
      </c>
      <c r="J71" s="4">
        <v>5</v>
      </c>
      <c r="K71" s="4">
        <v>5</v>
      </c>
      <c r="L71" s="4">
        <f>SUM(Data_Gabungan7[[#This Row],[Y1) Jika menerima undangan bergabung sebagai anggota HPFP, saya berniat menerimanya.]:[Y5) Saya berniat merekomendasikan keanggotaan HPFP kepada rekan sejawat saya.]])</f>
        <v>21</v>
      </c>
      <c r="M71" s="4" t="s">
        <v>20</v>
      </c>
      <c r="N71" s="4" t="s">
        <v>43</v>
      </c>
      <c r="O71" s="4" t="s">
        <v>83</v>
      </c>
      <c r="P71" s="4" t="s">
        <v>53</v>
      </c>
      <c r="Q71" s="4" t="s">
        <v>24</v>
      </c>
      <c r="R71" s="4" t="s">
        <v>41</v>
      </c>
    </row>
    <row r="72" spans="1:18" ht="22.5" customHeight="1" x14ac:dyDescent="0.35">
      <c r="A72" s="4">
        <v>2</v>
      </c>
      <c r="B72" s="4" t="s">
        <v>168</v>
      </c>
      <c r="C72" s="4">
        <v>30</v>
      </c>
      <c r="D72" s="4" t="s">
        <v>18</v>
      </c>
      <c r="E72" s="4" t="s">
        <v>38</v>
      </c>
      <c r="F72" s="5">
        <v>1</v>
      </c>
      <c r="G72" s="4">
        <v>4</v>
      </c>
      <c r="H72" s="4">
        <v>4</v>
      </c>
      <c r="I72" s="4">
        <v>4</v>
      </c>
      <c r="J72" s="4">
        <v>5</v>
      </c>
      <c r="K72" s="4">
        <v>4</v>
      </c>
      <c r="L72" s="4">
        <f>SUM(Data_Gabungan7[[#This Row],[Y1) Jika menerima undangan bergabung sebagai anggota HPFP, saya berniat menerimanya.]:[Y5) Saya berniat merekomendasikan keanggotaan HPFP kepada rekan sejawat saya.]])</f>
        <v>21</v>
      </c>
      <c r="M72" s="4" t="s">
        <v>20</v>
      </c>
      <c r="N72" s="4" t="s">
        <v>43</v>
      </c>
      <c r="O72" s="4" t="s">
        <v>169</v>
      </c>
      <c r="P72" s="4" t="s">
        <v>40</v>
      </c>
      <c r="Q72" s="4" t="s">
        <v>24</v>
      </c>
      <c r="R72" s="4" t="s">
        <v>41</v>
      </c>
    </row>
    <row r="73" spans="1:18" ht="22.5" customHeight="1" x14ac:dyDescent="0.35">
      <c r="A73" s="4">
        <v>2</v>
      </c>
      <c r="B73" s="4" t="s">
        <v>170</v>
      </c>
      <c r="C73" s="4">
        <v>30</v>
      </c>
      <c r="D73" s="4" t="s">
        <v>18</v>
      </c>
      <c r="E73" s="4" t="s">
        <v>38</v>
      </c>
      <c r="F73" s="5">
        <v>1</v>
      </c>
      <c r="G73" s="4">
        <v>4</v>
      </c>
      <c r="H73" s="4">
        <v>4</v>
      </c>
      <c r="I73" s="4">
        <v>4</v>
      </c>
      <c r="J73" s="4">
        <v>5</v>
      </c>
      <c r="K73" s="4">
        <v>4</v>
      </c>
      <c r="L73" s="4">
        <f>SUM(Data_Gabungan7[[#This Row],[Y1) Jika menerima undangan bergabung sebagai anggota HPFP, saya berniat menerimanya.]:[Y5) Saya berniat merekomendasikan keanggotaan HPFP kepada rekan sejawat saya.]])</f>
        <v>21</v>
      </c>
      <c r="M73" s="4" t="s">
        <v>20</v>
      </c>
      <c r="N73" s="4" t="s">
        <v>43</v>
      </c>
      <c r="O73" s="4" t="s">
        <v>171</v>
      </c>
      <c r="P73" s="4" t="s">
        <v>40</v>
      </c>
      <c r="Q73" s="4" t="s">
        <v>28</v>
      </c>
      <c r="R73" s="4" t="s">
        <v>41</v>
      </c>
    </row>
    <row r="74" spans="1:18" ht="22.5" customHeight="1" x14ac:dyDescent="0.35">
      <c r="A74" s="4">
        <v>2</v>
      </c>
      <c r="B74" s="4" t="s">
        <v>172</v>
      </c>
      <c r="C74" s="4">
        <v>30</v>
      </c>
      <c r="D74" s="4" t="s">
        <v>37</v>
      </c>
      <c r="E74" s="4" t="s">
        <v>38</v>
      </c>
      <c r="F74" s="5">
        <v>1</v>
      </c>
      <c r="G74" s="4">
        <v>4</v>
      </c>
      <c r="H74" s="4">
        <v>4</v>
      </c>
      <c r="I74" s="4">
        <v>4</v>
      </c>
      <c r="J74" s="4">
        <v>5</v>
      </c>
      <c r="K74" s="4">
        <v>3</v>
      </c>
      <c r="L74" s="4">
        <f>SUM(Data_Gabungan7[[#This Row],[Y1) Jika menerima undangan bergabung sebagai anggota HPFP, saya berniat menerimanya.]:[Y5) Saya berniat merekomendasikan keanggotaan HPFP kepada rekan sejawat saya.]])</f>
        <v>20</v>
      </c>
      <c r="M74" s="4" t="s">
        <v>20</v>
      </c>
      <c r="N74" s="4" t="s">
        <v>43</v>
      </c>
      <c r="O74" s="4" t="s">
        <v>83</v>
      </c>
      <c r="P74" s="4" t="s">
        <v>40</v>
      </c>
      <c r="Q74" s="4" t="s">
        <v>24</v>
      </c>
      <c r="R74" s="4" t="s">
        <v>25</v>
      </c>
    </row>
    <row r="75" spans="1:18" ht="22.5" customHeight="1" x14ac:dyDescent="0.35">
      <c r="A75" s="4">
        <v>2</v>
      </c>
      <c r="B75" s="4" t="s">
        <v>173</v>
      </c>
      <c r="C75" s="4">
        <v>45</v>
      </c>
      <c r="D75" s="4" t="s">
        <v>18</v>
      </c>
      <c r="E75" s="4" t="s">
        <v>38</v>
      </c>
      <c r="F75" s="5">
        <v>1</v>
      </c>
      <c r="G75" s="4">
        <v>4</v>
      </c>
      <c r="H75" s="4">
        <v>3</v>
      </c>
      <c r="I75" s="4">
        <v>4</v>
      </c>
      <c r="J75" s="4">
        <v>5</v>
      </c>
      <c r="K75" s="4">
        <v>3</v>
      </c>
      <c r="L75" s="4">
        <f>SUM(Data_Gabungan7[[#This Row],[Y1) Jika menerima undangan bergabung sebagai anggota HPFP, saya berniat menerimanya.]:[Y5) Saya berniat merekomendasikan keanggotaan HPFP kepada rekan sejawat saya.]])</f>
        <v>19</v>
      </c>
      <c r="M75" s="4" t="s">
        <v>51</v>
      </c>
      <c r="N75" s="4" t="s">
        <v>43</v>
      </c>
      <c r="O75" s="4" t="s">
        <v>174</v>
      </c>
      <c r="P75" s="4" t="s">
        <v>53</v>
      </c>
      <c r="Q75" s="4" t="s">
        <v>28</v>
      </c>
      <c r="R75" s="4" t="s">
        <v>25</v>
      </c>
    </row>
    <row r="76" spans="1:18" ht="22.5" customHeight="1" x14ac:dyDescent="0.35">
      <c r="A76" s="4">
        <v>2</v>
      </c>
      <c r="B76" s="4" t="s">
        <v>175</v>
      </c>
      <c r="C76" s="4">
        <v>31</v>
      </c>
      <c r="D76" s="4" t="s">
        <v>37</v>
      </c>
      <c r="E76" s="4" t="s">
        <v>38</v>
      </c>
      <c r="F76" s="5">
        <v>1</v>
      </c>
      <c r="G76" s="4">
        <v>4</v>
      </c>
      <c r="H76" s="4">
        <v>3</v>
      </c>
      <c r="I76" s="4">
        <v>5</v>
      </c>
      <c r="J76" s="4">
        <v>5</v>
      </c>
      <c r="K76" s="4">
        <v>3</v>
      </c>
      <c r="L76" s="4">
        <f>SUM(Data_Gabungan7[[#This Row],[Y1) Jika menerima undangan bergabung sebagai anggota HPFP, saya berniat menerimanya.]:[Y5) Saya berniat merekomendasikan keanggotaan HPFP kepada rekan sejawat saya.]])</f>
        <v>20</v>
      </c>
      <c r="M76" s="4" t="s">
        <v>20</v>
      </c>
      <c r="N76" s="4" t="s">
        <v>21</v>
      </c>
      <c r="O76" s="4" t="s">
        <v>176</v>
      </c>
      <c r="P76" s="4" t="s">
        <v>40</v>
      </c>
      <c r="Q76" s="4" t="s">
        <v>24</v>
      </c>
      <c r="R76" s="4" t="s">
        <v>41</v>
      </c>
    </row>
    <row r="77" spans="1:18" ht="22.5" customHeight="1" x14ac:dyDescent="0.35">
      <c r="A77" s="4">
        <v>2</v>
      </c>
      <c r="B77" s="4" t="s">
        <v>177</v>
      </c>
      <c r="C77" s="4">
        <v>30</v>
      </c>
      <c r="D77" s="4" t="s">
        <v>37</v>
      </c>
      <c r="E77" s="4" t="s">
        <v>38</v>
      </c>
      <c r="F77" s="5">
        <v>1</v>
      </c>
      <c r="G77" s="4">
        <v>3</v>
      </c>
      <c r="H77" s="4">
        <v>3</v>
      </c>
      <c r="I77" s="4">
        <v>4</v>
      </c>
      <c r="J77" s="4">
        <v>4</v>
      </c>
      <c r="K77" s="4">
        <v>4</v>
      </c>
      <c r="L77" s="4">
        <f>SUM(Data_Gabungan7[[#This Row],[Y1) Jika menerima undangan bergabung sebagai anggota HPFP, saya berniat menerimanya.]:[Y5) Saya berniat merekomendasikan keanggotaan HPFP kepada rekan sejawat saya.]])</f>
        <v>18</v>
      </c>
      <c r="M77" s="4" t="s">
        <v>20</v>
      </c>
      <c r="N77" s="4" t="s">
        <v>43</v>
      </c>
      <c r="O77" s="4" t="s">
        <v>83</v>
      </c>
      <c r="P77" s="4" t="s">
        <v>40</v>
      </c>
      <c r="Q77" s="4" t="s">
        <v>28</v>
      </c>
      <c r="R77" s="4" t="s">
        <v>41</v>
      </c>
    </row>
    <row r="78" spans="1:18" ht="22.5" customHeight="1" x14ac:dyDescent="0.35">
      <c r="A78" s="4">
        <v>2</v>
      </c>
      <c r="B78" s="4" t="s">
        <v>178</v>
      </c>
      <c r="C78" s="4">
        <v>40</v>
      </c>
      <c r="D78" s="4" t="s">
        <v>37</v>
      </c>
      <c r="E78" s="4" t="s">
        <v>38</v>
      </c>
      <c r="F78" s="5">
        <v>1</v>
      </c>
      <c r="G78" s="4">
        <v>4</v>
      </c>
      <c r="H78" s="4">
        <v>3</v>
      </c>
      <c r="I78" s="4">
        <v>4</v>
      </c>
      <c r="J78" s="4">
        <v>4</v>
      </c>
      <c r="K78" s="4">
        <v>3</v>
      </c>
      <c r="L78" s="4">
        <f>SUM(Data_Gabungan7[[#This Row],[Y1) Jika menerima undangan bergabung sebagai anggota HPFP, saya berniat menerimanya.]:[Y5) Saya berniat merekomendasikan keanggotaan HPFP kepada rekan sejawat saya.]])</f>
        <v>18</v>
      </c>
      <c r="M78" s="4" t="s">
        <v>20</v>
      </c>
      <c r="N78" s="4" t="s">
        <v>21</v>
      </c>
      <c r="O78" s="4" t="s">
        <v>94</v>
      </c>
      <c r="P78" s="4" t="s">
        <v>40</v>
      </c>
      <c r="Q78" s="4" t="s">
        <v>24</v>
      </c>
      <c r="R78" s="4" t="s">
        <v>41</v>
      </c>
    </row>
    <row r="79" spans="1:18" ht="22.5" customHeight="1" x14ac:dyDescent="0.35">
      <c r="A79" s="4">
        <v>2</v>
      </c>
      <c r="B79" s="4" t="s">
        <v>179</v>
      </c>
      <c r="C79" s="4">
        <v>52</v>
      </c>
      <c r="D79" s="4" t="s">
        <v>18</v>
      </c>
      <c r="E79" s="4" t="s">
        <v>38</v>
      </c>
      <c r="F79" s="5">
        <v>2</v>
      </c>
      <c r="G79" s="4">
        <v>3</v>
      </c>
      <c r="H79" s="4">
        <v>3</v>
      </c>
      <c r="I79" s="4">
        <v>4</v>
      </c>
      <c r="J79" s="4">
        <v>5</v>
      </c>
      <c r="K79" s="4">
        <v>3</v>
      </c>
      <c r="L79" s="4">
        <f>SUM(Data_Gabungan7[[#This Row],[Y1) Jika menerima undangan bergabung sebagai anggota HPFP, saya berniat menerimanya.]:[Y5) Saya berniat merekomendasikan keanggotaan HPFP kepada rekan sejawat saya.]])</f>
        <v>18</v>
      </c>
      <c r="M79" s="4" t="s">
        <v>20</v>
      </c>
      <c r="N79" s="4" t="s">
        <v>21</v>
      </c>
      <c r="O79" s="4" t="s">
        <v>180</v>
      </c>
      <c r="P79" s="4" t="s">
        <v>33</v>
      </c>
      <c r="Q79" s="4" t="s">
        <v>24</v>
      </c>
      <c r="R79" s="4" t="s">
        <v>25</v>
      </c>
    </row>
    <row r="80" spans="1:18" ht="22.5" customHeight="1" x14ac:dyDescent="0.35">
      <c r="A80" s="4">
        <v>2</v>
      </c>
      <c r="B80" s="4" t="s">
        <v>181</v>
      </c>
      <c r="C80" s="4">
        <v>40</v>
      </c>
      <c r="D80" s="4" t="s">
        <v>37</v>
      </c>
      <c r="E80" s="4" t="s">
        <v>38</v>
      </c>
      <c r="F80" s="5">
        <v>1</v>
      </c>
      <c r="G80" s="4">
        <v>4</v>
      </c>
      <c r="H80" s="4">
        <v>3</v>
      </c>
      <c r="I80" s="4">
        <v>3</v>
      </c>
      <c r="J80" s="4">
        <v>4</v>
      </c>
      <c r="K80" s="4">
        <v>4</v>
      </c>
      <c r="L80" s="4">
        <f>SUM(Data_Gabungan7[[#This Row],[Y1) Jika menerima undangan bergabung sebagai anggota HPFP, saya berniat menerimanya.]:[Y5) Saya berniat merekomendasikan keanggotaan HPFP kepada rekan sejawat saya.]])</f>
        <v>18</v>
      </c>
      <c r="M80" s="4" t="s">
        <v>20</v>
      </c>
      <c r="N80" s="4" t="s">
        <v>21</v>
      </c>
      <c r="O80" s="4" t="s">
        <v>182</v>
      </c>
      <c r="P80" s="4" t="s">
        <v>33</v>
      </c>
      <c r="Q80" s="4" t="s">
        <v>24</v>
      </c>
      <c r="R80" s="4" t="s">
        <v>25</v>
      </c>
    </row>
    <row r="81" spans="1:18" ht="22.5" customHeight="1" x14ac:dyDescent="0.35">
      <c r="A81" s="4">
        <v>2</v>
      </c>
      <c r="B81" s="4" t="s">
        <v>183</v>
      </c>
      <c r="C81" s="4">
        <v>36</v>
      </c>
      <c r="D81" s="4" t="s">
        <v>37</v>
      </c>
      <c r="E81" s="4" t="s">
        <v>38</v>
      </c>
      <c r="F81" s="5">
        <v>1</v>
      </c>
      <c r="G81" s="4">
        <v>4</v>
      </c>
      <c r="H81" s="4">
        <v>3</v>
      </c>
      <c r="I81" s="4">
        <v>3</v>
      </c>
      <c r="J81" s="4">
        <v>4</v>
      </c>
      <c r="K81" s="4">
        <v>4</v>
      </c>
      <c r="L81" s="4">
        <f>SUM(Data_Gabungan7[[#This Row],[Y1) Jika menerima undangan bergabung sebagai anggota HPFP, saya berniat menerimanya.]:[Y5) Saya berniat merekomendasikan keanggotaan HPFP kepada rekan sejawat saya.]])</f>
        <v>18</v>
      </c>
      <c r="M81" s="4" t="s">
        <v>20</v>
      </c>
      <c r="N81" s="4" t="s">
        <v>21</v>
      </c>
      <c r="O81" s="4" t="s">
        <v>184</v>
      </c>
      <c r="P81" s="4" t="s">
        <v>40</v>
      </c>
      <c r="Q81" s="4" t="s">
        <v>24</v>
      </c>
      <c r="R81" s="4" t="s">
        <v>41</v>
      </c>
    </row>
    <row r="82" spans="1:18" ht="22.5" customHeight="1" x14ac:dyDescent="0.35">
      <c r="A82" s="4">
        <v>2</v>
      </c>
      <c r="B82" s="4" t="s">
        <v>185</v>
      </c>
      <c r="C82" s="4">
        <v>29</v>
      </c>
      <c r="D82" s="4" t="s">
        <v>18</v>
      </c>
      <c r="E82" s="4" t="s">
        <v>38</v>
      </c>
      <c r="F82" s="5">
        <v>1</v>
      </c>
      <c r="G82" s="4">
        <v>4</v>
      </c>
      <c r="H82" s="4">
        <v>4</v>
      </c>
      <c r="I82" s="4">
        <v>4</v>
      </c>
      <c r="J82" s="4">
        <v>3</v>
      </c>
      <c r="K82" s="4">
        <v>4</v>
      </c>
      <c r="L82" s="4">
        <f>SUM(Data_Gabungan7[[#This Row],[Y1) Jika menerima undangan bergabung sebagai anggota HPFP, saya berniat menerimanya.]:[Y5) Saya berniat merekomendasikan keanggotaan HPFP kepada rekan sejawat saya.]])</f>
        <v>19</v>
      </c>
      <c r="M82" s="4" t="s">
        <v>20</v>
      </c>
      <c r="N82" s="4" t="s">
        <v>43</v>
      </c>
      <c r="O82" s="4" t="s">
        <v>83</v>
      </c>
      <c r="P82" s="4" t="s">
        <v>40</v>
      </c>
      <c r="Q82" s="4" t="s">
        <v>24</v>
      </c>
      <c r="R82" s="4" t="s">
        <v>41</v>
      </c>
    </row>
    <row r="83" spans="1:18" ht="22.5" customHeight="1" x14ac:dyDescent="0.35">
      <c r="A83" s="4">
        <v>2</v>
      </c>
      <c r="B83" s="4" t="s">
        <v>186</v>
      </c>
      <c r="C83" s="4">
        <v>49</v>
      </c>
      <c r="D83" s="4" t="s">
        <v>37</v>
      </c>
      <c r="E83" s="4" t="s">
        <v>19</v>
      </c>
      <c r="F83" s="5">
        <v>1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f>SUM(Data_Gabungan7[[#This Row],[Y1) Jika menerima undangan bergabung sebagai anggota HPFP, saya berniat menerimanya.]:[Y5) Saya berniat merekomendasikan keanggotaan HPFP kepada rekan sejawat saya.]])</f>
        <v>19</v>
      </c>
      <c r="M83" s="4" t="s">
        <v>20</v>
      </c>
      <c r="N83" s="4" t="s">
        <v>21</v>
      </c>
      <c r="O83" s="4" t="s">
        <v>187</v>
      </c>
      <c r="P83" s="4" t="s">
        <v>33</v>
      </c>
      <c r="Q83" s="4" t="s">
        <v>28</v>
      </c>
      <c r="R83" s="4" t="s">
        <v>25</v>
      </c>
    </row>
    <row r="84" spans="1:18" ht="22.5" customHeight="1" x14ac:dyDescent="0.35">
      <c r="A84" s="4">
        <v>2</v>
      </c>
      <c r="B84" s="4" t="s">
        <v>188</v>
      </c>
      <c r="C84" s="4">
        <v>32</v>
      </c>
      <c r="D84" s="4" t="s">
        <v>18</v>
      </c>
      <c r="E84" s="4" t="s">
        <v>19</v>
      </c>
      <c r="F84" s="5">
        <v>1</v>
      </c>
      <c r="G84" s="4">
        <v>3</v>
      </c>
      <c r="H84" s="4">
        <v>3</v>
      </c>
      <c r="I84" s="4">
        <v>4</v>
      </c>
      <c r="J84" s="4">
        <v>3</v>
      </c>
      <c r="K84" s="4">
        <v>4</v>
      </c>
      <c r="L84" s="4">
        <f>SUM(Data_Gabungan7[[#This Row],[Y1) Jika menerima undangan bergabung sebagai anggota HPFP, saya berniat menerimanya.]:[Y5) Saya berniat merekomendasikan keanggotaan HPFP kepada rekan sejawat saya.]])</f>
        <v>17</v>
      </c>
      <c r="M84" s="4" t="s">
        <v>20</v>
      </c>
      <c r="N84" s="4" t="s">
        <v>43</v>
      </c>
      <c r="O84" s="4" t="s">
        <v>67</v>
      </c>
      <c r="P84" s="4" t="s">
        <v>40</v>
      </c>
      <c r="Q84" s="4" t="s">
        <v>24</v>
      </c>
      <c r="R84" s="4" t="s">
        <v>41</v>
      </c>
    </row>
    <row r="85" spans="1:18" ht="22.5" customHeight="1" x14ac:dyDescent="0.35">
      <c r="A85" s="4">
        <v>3</v>
      </c>
      <c r="B85" s="6" t="s">
        <v>189</v>
      </c>
      <c r="C85" s="7">
        <v>27</v>
      </c>
      <c r="D85" s="6" t="s">
        <v>18</v>
      </c>
      <c r="E85" s="6" t="s">
        <v>38</v>
      </c>
      <c r="F85" s="8">
        <v>3</v>
      </c>
      <c r="G85" s="7">
        <v>4</v>
      </c>
      <c r="H85" s="7">
        <v>5</v>
      </c>
      <c r="I85" s="7">
        <v>5</v>
      </c>
      <c r="J85" s="7">
        <v>4</v>
      </c>
      <c r="K85" s="7">
        <v>4</v>
      </c>
      <c r="L85" s="7">
        <f>SUM(Data_Gabungan7[[#This Row],[Y1) Jika menerima undangan bergabung sebagai anggota HPFP, saya berniat menerimanya.]:[Y5) Saya berniat merekomendasikan keanggotaan HPFP kepada rekan sejawat saya.]])</f>
        <v>22</v>
      </c>
      <c r="M85" s="6" t="s">
        <v>20</v>
      </c>
      <c r="N85" s="6" t="s">
        <v>43</v>
      </c>
      <c r="O85" s="6" t="s">
        <v>190</v>
      </c>
      <c r="P85" s="6" t="s">
        <v>53</v>
      </c>
      <c r="Q85" s="6" t="s">
        <v>24</v>
      </c>
      <c r="R85" s="6" t="s">
        <v>41</v>
      </c>
    </row>
    <row r="86" spans="1:18" ht="22.5" customHeight="1" x14ac:dyDescent="0.35">
      <c r="A86" s="4">
        <v>3</v>
      </c>
      <c r="B86" s="9" t="s">
        <v>191</v>
      </c>
      <c r="C86" s="10">
        <v>37</v>
      </c>
      <c r="D86" s="9" t="s">
        <v>18</v>
      </c>
      <c r="E86" s="9" t="s">
        <v>38</v>
      </c>
      <c r="F86" s="8">
        <v>5</v>
      </c>
      <c r="G86" s="10">
        <v>5</v>
      </c>
      <c r="H86" s="10">
        <v>5</v>
      </c>
      <c r="I86" s="10">
        <v>5</v>
      </c>
      <c r="J86" s="10">
        <v>5</v>
      </c>
      <c r="K86" s="10">
        <v>5</v>
      </c>
      <c r="L86" s="10">
        <f>SUM(Data_Gabungan7[[#This Row],[Y1) Jika menerima undangan bergabung sebagai anggota HPFP, saya berniat menerimanya.]:[Y5) Saya berniat merekomendasikan keanggotaan HPFP kepada rekan sejawat saya.]])</f>
        <v>25</v>
      </c>
      <c r="M86" s="9" t="s">
        <v>20</v>
      </c>
      <c r="N86" s="9" t="s">
        <v>21</v>
      </c>
      <c r="O86" s="9" t="s">
        <v>192</v>
      </c>
      <c r="P86" s="9" t="s">
        <v>53</v>
      </c>
      <c r="Q86" s="9" t="s">
        <v>24</v>
      </c>
      <c r="R86" s="9" t="s">
        <v>41</v>
      </c>
    </row>
    <row r="87" spans="1:18" ht="22.5" customHeight="1" x14ac:dyDescent="0.35">
      <c r="A87" s="4">
        <v>3</v>
      </c>
      <c r="B87" s="6" t="s">
        <v>193</v>
      </c>
      <c r="C87" s="7">
        <v>34</v>
      </c>
      <c r="D87" s="6" t="s">
        <v>18</v>
      </c>
      <c r="E87" s="6" t="s">
        <v>19</v>
      </c>
      <c r="F87" s="8">
        <v>5</v>
      </c>
      <c r="G87" s="7">
        <v>5</v>
      </c>
      <c r="H87" s="7">
        <v>5</v>
      </c>
      <c r="I87" s="7">
        <v>5</v>
      </c>
      <c r="J87" s="7">
        <v>5</v>
      </c>
      <c r="K87" s="7">
        <v>5</v>
      </c>
      <c r="L87" s="7">
        <f>SUM(Data_Gabungan7[[#This Row],[Y1) Jika menerima undangan bergabung sebagai anggota HPFP, saya berniat menerimanya.]:[Y5) Saya berniat merekomendasikan keanggotaan HPFP kepada rekan sejawat saya.]])</f>
        <v>25</v>
      </c>
      <c r="M87" s="6" t="s">
        <v>20</v>
      </c>
      <c r="N87" s="6" t="s">
        <v>43</v>
      </c>
      <c r="O87" s="6" t="s">
        <v>194</v>
      </c>
      <c r="P87" s="6" t="s">
        <v>40</v>
      </c>
      <c r="Q87" s="6" t="s">
        <v>28</v>
      </c>
      <c r="R87" s="6" t="s">
        <v>41</v>
      </c>
    </row>
    <row r="88" spans="1:18" ht="22.5" customHeight="1" x14ac:dyDescent="0.35">
      <c r="A88" s="4">
        <v>3</v>
      </c>
      <c r="B88" s="9" t="s">
        <v>195</v>
      </c>
      <c r="C88" s="10">
        <v>27</v>
      </c>
      <c r="D88" s="9" t="s">
        <v>37</v>
      </c>
      <c r="E88" s="9" t="s">
        <v>38</v>
      </c>
      <c r="F88" s="8">
        <v>4</v>
      </c>
      <c r="G88" s="10">
        <v>3</v>
      </c>
      <c r="H88" s="10">
        <v>4</v>
      </c>
      <c r="I88" s="10">
        <v>5</v>
      </c>
      <c r="J88" s="10">
        <v>5</v>
      </c>
      <c r="K88" s="10">
        <v>4</v>
      </c>
      <c r="L88" s="10">
        <f>SUM(Data_Gabungan7[[#This Row],[Y1) Jika menerima undangan bergabung sebagai anggota HPFP, saya berniat menerimanya.]:[Y5) Saya berniat merekomendasikan keanggotaan HPFP kepada rekan sejawat saya.]])</f>
        <v>21</v>
      </c>
      <c r="M88" s="9" t="s">
        <v>20</v>
      </c>
      <c r="N88" s="9" t="s">
        <v>21</v>
      </c>
      <c r="O88" s="9" t="s">
        <v>196</v>
      </c>
      <c r="P88" s="9" t="s">
        <v>53</v>
      </c>
      <c r="Q88" s="9" t="s">
        <v>28</v>
      </c>
      <c r="R88" s="9" t="s">
        <v>41</v>
      </c>
    </row>
    <row r="89" spans="1:18" ht="22.5" customHeight="1" x14ac:dyDescent="0.35">
      <c r="A89" s="4">
        <v>3</v>
      </c>
      <c r="B89" s="6" t="s">
        <v>197</v>
      </c>
      <c r="C89" s="7">
        <v>32</v>
      </c>
      <c r="D89" s="6" t="s">
        <v>18</v>
      </c>
      <c r="E89" s="6" t="s">
        <v>198</v>
      </c>
      <c r="F89" s="8">
        <v>3</v>
      </c>
      <c r="G89" s="7">
        <v>5</v>
      </c>
      <c r="H89" s="7">
        <v>4</v>
      </c>
      <c r="I89" s="7">
        <v>5</v>
      </c>
      <c r="J89" s="7">
        <v>5</v>
      </c>
      <c r="K89" s="7">
        <v>5</v>
      </c>
      <c r="L89" s="7">
        <f>SUM(Data_Gabungan7[[#This Row],[Y1) Jika menerima undangan bergabung sebagai anggota HPFP, saya berniat menerimanya.]:[Y5) Saya berniat merekomendasikan keanggotaan HPFP kepada rekan sejawat saya.]])</f>
        <v>24</v>
      </c>
      <c r="M89" s="6" t="s">
        <v>20</v>
      </c>
      <c r="N89" s="6" t="s">
        <v>21</v>
      </c>
      <c r="O89" s="6" t="s">
        <v>199</v>
      </c>
      <c r="P89" s="6" t="s">
        <v>40</v>
      </c>
      <c r="Q89" s="6" t="s">
        <v>124</v>
      </c>
      <c r="R89" s="6" t="s">
        <v>125</v>
      </c>
    </row>
    <row r="90" spans="1:18" ht="22.5" customHeight="1" x14ac:dyDescent="0.35">
      <c r="A90" s="4">
        <v>3</v>
      </c>
      <c r="B90" s="9" t="s">
        <v>200</v>
      </c>
      <c r="C90" s="10">
        <v>51</v>
      </c>
      <c r="D90" s="9" t="s">
        <v>18</v>
      </c>
      <c r="E90" s="9" t="s">
        <v>19</v>
      </c>
      <c r="F90" s="8">
        <v>5</v>
      </c>
      <c r="G90" s="10">
        <v>5</v>
      </c>
      <c r="H90" s="10">
        <v>4</v>
      </c>
      <c r="I90" s="10">
        <v>5</v>
      </c>
      <c r="J90" s="10">
        <v>5</v>
      </c>
      <c r="K90" s="10">
        <v>5</v>
      </c>
      <c r="L90" s="10">
        <f>SUM(Data_Gabungan7[[#This Row],[Y1) Jika menerima undangan bergabung sebagai anggota HPFP, saya berniat menerimanya.]:[Y5) Saya berniat merekomendasikan keanggotaan HPFP kepada rekan sejawat saya.]])</f>
        <v>24</v>
      </c>
      <c r="M90" s="9" t="s">
        <v>20</v>
      </c>
      <c r="N90" s="9" t="s">
        <v>21</v>
      </c>
      <c r="O90" s="9" t="s">
        <v>201</v>
      </c>
      <c r="P90" s="9" t="s">
        <v>33</v>
      </c>
      <c r="Q90" s="9" t="s">
        <v>24</v>
      </c>
      <c r="R90" s="9" t="s">
        <v>25</v>
      </c>
    </row>
    <row r="91" spans="1:18" ht="22.5" customHeight="1" x14ac:dyDescent="0.35">
      <c r="A91" s="4">
        <v>3</v>
      </c>
      <c r="B91" s="6" t="s">
        <v>202</v>
      </c>
      <c r="C91" s="7">
        <v>45</v>
      </c>
      <c r="D91" s="6" t="s">
        <v>37</v>
      </c>
      <c r="E91" s="6" t="s">
        <v>38</v>
      </c>
      <c r="F91" s="8">
        <v>5</v>
      </c>
      <c r="G91" s="7">
        <v>4</v>
      </c>
      <c r="H91" s="7">
        <v>4</v>
      </c>
      <c r="I91" s="7">
        <v>4</v>
      </c>
      <c r="J91" s="7">
        <v>5</v>
      </c>
      <c r="K91" s="7">
        <v>4</v>
      </c>
      <c r="L91" s="7">
        <f>SUM(Data_Gabungan7[[#This Row],[Y1) Jika menerima undangan bergabung sebagai anggota HPFP, saya berniat menerimanya.]:[Y5) Saya berniat merekomendasikan keanggotaan HPFP kepada rekan sejawat saya.]])</f>
        <v>21</v>
      </c>
      <c r="M91" s="6" t="s">
        <v>20</v>
      </c>
      <c r="N91" s="6" t="s">
        <v>21</v>
      </c>
      <c r="O91" s="6" t="s">
        <v>203</v>
      </c>
      <c r="P91" s="6" t="s">
        <v>23</v>
      </c>
      <c r="Q91" s="6" t="s">
        <v>24</v>
      </c>
      <c r="R91" s="6" t="s">
        <v>25</v>
      </c>
    </row>
    <row r="92" spans="1:18" ht="22.5" customHeight="1" x14ac:dyDescent="0.35">
      <c r="A92" s="4">
        <v>3</v>
      </c>
      <c r="B92" s="9" t="s">
        <v>204</v>
      </c>
      <c r="C92" s="10">
        <v>41</v>
      </c>
      <c r="D92" s="9" t="s">
        <v>37</v>
      </c>
      <c r="E92" s="9" t="s">
        <v>38</v>
      </c>
      <c r="F92" s="8">
        <v>3</v>
      </c>
      <c r="G92" s="10">
        <v>3</v>
      </c>
      <c r="H92" s="10">
        <v>5</v>
      </c>
      <c r="I92" s="10">
        <v>4</v>
      </c>
      <c r="J92" s="10">
        <v>4</v>
      </c>
      <c r="K92" s="10">
        <v>5</v>
      </c>
      <c r="L92" s="10">
        <f>SUM(Data_Gabungan7[[#This Row],[Y1) Jika menerima undangan bergabung sebagai anggota HPFP, saya berniat menerimanya.]:[Y5) Saya berniat merekomendasikan keanggotaan HPFP kepada rekan sejawat saya.]])</f>
        <v>21</v>
      </c>
      <c r="M92" s="9" t="s">
        <v>51</v>
      </c>
      <c r="N92" s="9" t="s">
        <v>21</v>
      </c>
      <c r="O92" s="9" t="s">
        <v>205</v>
      </c>
      <c r="P92" s="9" t="s">
        <v>53</v>
      </c>
      <c r="Q92" s="9" t="s">
        <v>24</v>
      </c>
      <c r="R92" s="9" t="s">
        <v>41</v>
      </c>
    </row>
    <row r="93" spans="1:18" ht="22.5" customHeight="1" x14ac:dyDescent="0.35">
      <c r="A93" s="4">
        <v>3</v>
      </c>
      <c r="B93" s="6" t="s">
        <v>206</v>
      </c>
      <c r="C93" s="7">
        <v>37</v>
      </c>
      <c r="D93" s="6" t="s">
        <v>18</v>
      </c>
      <c r="E93" s="6" t="s">
        <v>19</v>
      </c>
      <c r="F93" s="8">
        <v>5</v>
      </c>
      <c r="G93" s="7">
        <v>5</v>
      </c>
      <c r="H93" s="7">
        <v>5</v>
      </c>
      <c r="I93" s="7">
        <v>4</v>
      </c>
      <c r="J93" s="7">
        <v>4</v>
      </c>
      <c r="K93" s="7">
        <v>5</v>
      </c>
      <c r="L93" s="7">
        <f>SUM(Data_Gabungan7[[#This Row],[Y1) Jika menerima undangan bergabung sebagai anggota HPFP, saya berniat menerimanya.]:[Y5) Saya berniat merekomendasikan keanggotaan HPFP kepada rekan sejawat saya.]])</f>
        <v>23</v>
      </c>
      <c r="M93" s="6" t="s">
        <v>20</v>
      </c>
      <c r="N93" s="6" t="s">
        <v>21</v>
      </c>
      <c r="O93" s="6" t="s">
        <v>207</v>
      </c>
      <c r="P93" s="6" t="s">
        <v>40</v>
      </c>
      <c r="Q93" s="6" t="s">
        <v>24</v>
      </c>
      <c r="R93" s="6" t="s">
        <v>41</v>
      </c>
    </row>
    <row r="94" spans="1:18" ht="22.5" customHeight="1" x14ac:dyDescent="0.35">
      <c r="A94" s="4">
        <v>3</v>
      </c>
      <c r="B94" s="9" t="s">
        <v>208</v>
      </c>
      <c r="C94" s="10">
        <v>50</v>
      </c>
      <c r="D94" s="9" t="s">
        <v>18</v>
      </c>
      <c r="E94" s="9" t="s">
        <v>38</v>
      </c>
      <c r="F94" s="8">
        <v>4</v>
      </c>
      <c r="G94" s="10">
        <v>5</v>
      </c>
      <c r="H94" s="10">
        <v>5</v>
      </c>
      <c r="I94" s="10">
        <v>5</v>
      </c>
      <c r="J94" s="10">
        <v>5</v>
      </c>
      <c r="K94" s="10">
        <v>5</v>
      </c>
      <c r="L94" s="10">
        <f>SUM(Data_Gabungan7[[#This Row],[Y1) Jika menerima undangan bergabung sebagai anggota HPFP, saya berniat menerimanya.]:[Y5) Saya berniat merekomendasikan keanggotaan HPFP kepada rekan sejawat saya.]])</f>
        <v>25</v>
      </c>
      <c r="M94" s="9" t="s">
        <v>20</v>
      </c>
      <c r="N94" s="9" t="s">
        <v>21</v>
      </c>
      <c r="O94" s="9" t="s">
        <v>209</v>
      </c>
      <c r="P94" s="9" t="s">
        <v>33</v>
      </c>
      <c r="Q94" s="9" t="s">
        <v>24</v>
      </c>
      <c r="R94" s="9" t="s">
        <v>25</v>
      </c>
    </row>
    <row r="95" spans="1:18" ht="22.5" customHeight="1" x14ac:dyDescent="0.35">
      <c r="A95" s="4">
        <v>3</v>
      </c>
      <c r="B95" s="6" t="s">
        <v>210</v>
      </c>
      <c r="C95" s="7">
        <v>31</v>
      </c>
      <c r="D95" s="6" t="s">
        <v>37</v>
      </c>
      <c r="E95" s="6" t="s">
        <v>38</v>
      </c>
      <c r="F95" s="8">
        <v>5</v>
      </c>
      <c r="G95" s="7">
        <v>5</v>
      </c>
      <c r="H95" s="7">
        <v>4</v>
      </c>
      <c r="I95" s="7">
        <v>5</v>
      </c>
      <c r="J95" s="7">
        <v>5</v>
      </c>
      <c r="K95" s="7">
        <v>4</v>
      </c>
      <c r="L95" s="7">
        <f>SUM(Data_Gabungan7[[#This Row],[Y1) Jika menerima undangan bergabung sebagai anggota HPFP, saya berniat menerimanya.]:[Y5) Saya berniat merekomendasikan keanggotaan HPFP kepada rekan sejawat saya.]])</f>
        <v>23</v>
      </c>
      <c r="M95" s="6" t="s">
        <v>20</v>
      </c>
      <c r="N95" s="6" t="s">
        <v>43</v>
      </c>
      <c r="O95" s="6" t="s">
        <v>83</v>
      </c>
      <c r="P95" s="6" t="s">
        <v>40</v>
      </c>
      <c r="Q95" s="6" t="s">
        <v>24</v>
      </c>
      <c r="R95" s="6" t="s">
        <v>41</v>
      </c>
    </row>
    <row r="96" spans="1:18" ht="22.5" customHeight="1" x14ac:dyDescent="0.35">
      <c r="A96" s="4">
        <v>3</v>
      </c>
      <c r="B96" s="9" t="s">
        <v>211</v>
      </c>
      <c r="C96" s="10">
        <v>34</v>
      </c>
      <c r="D96" s="9" t="s">
        <v>37</v>
      </c>
      <c r="E96" s="9" t="s">
        <v>19</v>
      </c>
      <c r="F96" s="8">
        <v>5</v>
      </c>
      <c r="G96" s="10">
        <v>4</v>
      </c>
      <c r="H96" s="10">
        <v>5</v>
      </c>
      <c r="I96" s="10">
        <v>5</v>
      </c>
      <c r="J96" s="10">
        <v>5</v>
      </c>
      <c r="K96" s="10">
        <v>5</v>
      </c>
      <c r="L96" s="10">
        <f>SUM(Data_Gabungan7[[#This Row],[Y1) Jika menerima undangan bergabung sebagai anggota HPFP, saya berniat menerimanya.]:[Y5) Saya berniat merekomendasikan keanggotaan HPFP kepada rekan sejawat saya.]])</f>
        <v>24</v>
      </c>
      <c r="M96" s="9" t="s">
        <v>20</v>
      </c>
      <c r="N96" s="9" t="s">
        <v>43</v>
      </c>
      <c r="O96" s="9" t="s">
        <v>212</v>
      </c>
      <c r="P96" s="9" t="s">
        <v>40</v>
      </c>
      <c r="Q96" s="9" t="s">
        <v>28</v>
      </c>
      <c r="R96" s="9" t="s">
        <v>41</v>
      </c>
    </row>
    <row r="97" spans="1:18" ht="22.5" customHeight="1" x14ac:dyDescent="0.35">
      <c r="A97" s="4">
        <v>3</v>
      </c>
      <c r="B97" s="6" t="s">
        <v>213</v>
      </c>
      <c r="C97" s="7">
        <v>31</v>
      </c>
      <c r="D97" s="6" t="s">
        <v>37</v>
      </c>
      <c r="E97" s="6" t="s">
        <v>38</v>
      </c>
      <c r="F97" s="8">
        <v>5</v>
      </c>
      <c r="G97" s="7">
        <v>5</v>
      </c>
      <c r="H97" s="7">
        <v>5</v>
      </c>
      <c r="I97" s="7">
        <v>5</v>
      </c>
      <c r="J97" s="7">
        <v>5</v>
      </c>
      <c r="K97" s="7">
        <v>5</v>
      </c>
      <c r="L97" s="7">
        <f>SUM(Data_Gabungan7[[#This Row],[Y1) Jika menerima undangan bergabung sebagai anggota HPFP, saya berniat menerimanya.]:[Y5) Saya berniat merekomendasikan keanggotaan HPFP kepada rekan sejawat saya.]])</f>
        <v>25</v>
      </c>
      <c r="M97" s="6" t="s">
        <v>20</v>
      </c>
      <c r="N97" s="6" t="s">
        <v>43</v>
      </c>
      <c r="O97" s="6" t="s">
        <v>71</v>
      </c>
      <c r="P97" s="6" t="s">
        <v>40</v>
      </c>
      <c r="Q97" s="6" t="s">
        <v>24</v>
      </c>
      <c r="R97" s="6" t="s">
        <v>25</v>
      </c>
    </row>
    <row r="98" spans="1:18" ht="22.5" customHeight="1" x14ac:dyDescent="0.35">
      <c r="A98" s="4">
        <v>3</v>
      </c>
      <c r="B98" s="9" t="s">
        <v>214</v>
      </c>
      <c r="C98" s="10">
        <v>31</v>
      </c>
      <c r="D98" s="9" t="s">
        <v>37</v>
      </c>
      <c r="E98" s="9" t="s">
        <v>38</v>
      </c>
      <c r="F98" s="8">
        <v>5</v>
      </c>
      <c r="G98" s="10">
        <v>5</v>
      </c>
      <c r="H98" s="10">
        <v>5</v>
      </c>
      <c r="I98" s="10">
        <v>4</v>
      </c>
      <c r="J98" s="10">
        <v>4</v>
      </c>
      <c r="K98" s="10">
        <v>5</v>
      </c>
      <c r="L98" s="10">
        <f>SUM(Data_Gabungan7[[#This Row],[Y1) Jika menerima undangan bergabung sebagai anggota HPFP, saya berniat menerimanya.]:[Y5) Saya berniat merekomendasikan keanggotaan HPFP kepada rekan sejawat saya.]])</f>
        <v>23</v>
      </c>
      <c r="M98" s="9" t="s">
        <v>20</v>
      </c>
      <c r="N98" s="9" t="s">
        <v>43</v>
      </c>
      <c r="O98" s="9" t="s">
        <v>77</v>
      </c>
      <c r="P98" s="9" t="s">
        <v>40</v>
      </c>
      <c r="Q98" s="9" t="s">
        <v>24</v>
      </c>
      <c r="R98" s="9" t="s">
        <v>41</v>
      </c>
    </row>
    <row r="99" spans="1:18" ht="22.5" customHeight="1" x14ac:dyDescent="0.35">
      <c r="A99" s="4">
        <v>3</v>
      </c>
      <c r="B99" s="6" t="s">
        <v>215</v>
      </c>
      <c r="C99" s="7">
        <v>31</v>
      </c>
      <c r="D99" s="6" t="s">
        <v>37</v>
      </c>
      <c r="E99" s="6" t="s">
        <v>38</v>
      </c>
      <c r="F99" s="8">
        <v>4</v>
      </c>
      <c r="G99" s="7">
        <v>5</v>
      </c>
      <c r="H99" s="7">
        <v>4</v>
      </c>
      <c r="I99" s="7">
        <v>4</v>
      </c>
      <c r="J99" s="7">
        <v>4</v>
      </c>
      <c r="K99" s="7">
        <v>5</v>
      </c>
      <c r="L99" s="7">
        <f>SUM(Data_Gabungan7[[#This Row],[Y1) Jika menerima undangan bergabung sebagai anggota HPFP, saya berniat menerimanya.]:[Y5) Saya berniat merekomendasikan keanggotaan HPFP kepada rekan sejawat saya.]])</f>
        <v>22</v>
      </c>
      <c r="M99" s="6" t="s">
        <v>51</v>
      </c>
      <c r="N99" s="6" t="s">
        <v>43</v>
      </c>
      <c r="O99" s="6" t="s">
        <v>67</v>
      </c>
      <c r="P99" s="6" t="s">
        <v>53</v>
      </c>
      <c r="Q99" s="6" t="s">
        <v>24</v>
      </c>
      <c r="R99" s="6" t="s">
        <v>25</v>
      </c>
    </row>
    <row r="100" spans="1:18" ht="22.5" customHeight="1" x14ac:dyDescent="0.35">
      <c r="A100" s="4">
        <v>3</v>
      </c>
      <c r="B100" s="9" t="s">
        <v>216</v>
      </c>
      <c r="C100" s="10">
        <v>40</v>
      </c>
      <c r="D100" s="9" t="s">
        <v>18</v>
      </c>
      <c r="E100" s="9" t="s">
        <v>19</v>
      </c>
      <c r="F100" s="8">
        <v>5</v>
      </c>
      <c r="G100" s="10">
        <v>5</v>
      </c>
      <c r="H100" s="10">
        <v>4</v>
      </c>
      <c r="I100" s="10">
        <v>5</v>
      </c>
      <c r="J100" s="10">
        <v>5</v>
      </c>
      <c r="K100" s="10">
        <v>5</v>
      </c>
      <c r="L100" s="10">
        <f>SUM(Data_Gabungan7[[#This Row],[Y1) Jika menerima undangan bergabung sebagai anggota HPFP, saya berniat menerimanya.]:[Y5) Saya berniat merekomendasikan keanggotaan HPFP kepada rekan sejawat saya.]])</f>
        <v>24</v>
      </c>
      <c r="M100" s="9" t="s">
        <v>20</v>
      </c>
      <c r="N100" s="9" t="s">
        <v>43</v>
      </c>
      <c r="O100" s="9" t="s">
        <v>71</v>
      </c>
      <c r="P100" s="9" t="s">
        <v>33</v>
      </c>
      <c r="Q100" s="9" t="s">
        <v>24</v>
      </c>
      <c r="R100" s="9" t="s">
        <v>25</v>
      </c>
    </row>
    <row r="101" spans="1:18" ht="22.5" customHeight="1" x14ac:dyDescent="0.35">
      <c r="A101" s="4">
        <v>3</v>
      </c>
      <c r="B101" s="6" t="s">
        <v>217</v>
      </c>
      <c r="C101" s="7">
        <v>43</v>
      </c>
      <c r="D101" s="6" t="s">
        <v>18</v>
      </c>
      <c r="E101" s="6" t="s">
        <v>38</v>
      </c>
      <c r="F101" s="8">
        <v>4</v>
      </c>
      <c r="G101" s="7">
        <v>5</v>
      </c>
      <c r="H101" s="7">
        <v>4</v>
      </c>
      <c r="I101" s="7">
        <v>5</v>
      </c>
      <c r="J101" s="7">
        <v>4</v>
      </c>
      <c r="K101" s="7">
        <v>5</v>
      </c>
      <c r="L101" s="7">
        <f>SUM(Data_Gabungan7[[#This Row],[Y1) Jika menerima undangan bergabung sebagai anggota HPFP, saya berniat menerimanya.]:[Y5) Saya berniat merekomendasikan keanggotaan HPFP kepada rekan sejawat saya.]])</f>
        <v>23</v>
      </c>
      <c r="M101" s="6" t="s">
        <v>51</v>
      </c>
      <c r="N101" s="6" t="s">
        <v>43</v>
      </c>
      <c r="O101" s="6" t="s">
        <v>218</v>
      </c>
      <c r="P101" s="6" t="s">
        <v>53</v>
      </c>
      <c r="Q101" s="6" t="s">
        <v>24</v>
      </c>
      <c r="R101" s="6" t="s">
        <v>25</v>
      </c>
    </row>
    <row r="102" spans="1:18" ht="22.5" customHeight="1" x14ac:dyDescent="0.35">
      <c r="A102" s="4">
        <v>3</v>
      </c>
      <c r="B102" s="9" t="s">
        <v>219</v>
      </c>
      <c r="C102" s="10">
        <v>31</v>
      </c>
      <c r="D102" s="9" t="s">
        <v>18</v>
      </c>
      <c r="E102" s="9" t="s">
        <v>38</v>
      </c>
      <c r="F102" s="8">
        <v>5</v>
      </c>
      <c r="G102" s="10">
        <v>5</v>
      </c>
      <c r="H102" s="10">
        <v>4</v>
      </c>
      <c r="I102" s="10">
        <v>5</v>
      </c>
      <c r="J102" s="10">
        <v>5</v>
      </c>
      <c r="K102" s="10">
        <v>4</v>
      </c>
      <c r="L102" s="10">
        <f>SUM(Data_Gabungan7[[#This Row],[Y1) Jika menerima undangan bergabung sebagai anggota HPFP, saya berniat menerimanya.]:[Y5) Saya berniat merekomendasikan keanggotaan HPFP kepada rekan sejawat saya.]])</f>
        <v>23</v>
      </c>
      <c r="M102" s="9" t="s">
        <v>51</v>
      </c>
      <c r="N102" s="9" t="s">
        <v>43</v>
      </c>
      <c r="O102" s="9" t="s">
        <v>67</v>
      </c>
      <c r="P102" s="9" t="s">
        <v>53</v>
      </c>
      <c r="Q102" s="9" t="s">
        <v>24</v>
      </c>
      <c r="R102" s="9" t="s">
        <v>41</v>
      </c>
    </row>
    <row r="103" spans="1:18" ht="22.5" customHeight="1" x14ac:dyDescent="0.35">
      <c r="A103" s="4">
        <v>3</v>
      </c>
      <c r="B103" s="6" t="s">
        <v>220</v>
      </c>
      <c r="C103" s="7">
        <v>37</v>
      </c>
      <c r="D103" s="6" t="s">
        <v>37</v>
      </c>
      <c r="E103" s="6" t="s">
        <v>38</v>
      </c>
      <c r="F103" s="8">
        <v>4</v>
      </c>
      <c r="G103" s="7">
        <v>5</v>
      </c>
      <c r="H103" s="7">
        <v>5</v>
      </c>
      <c r="I103" s="7">
        <v>5</v>
      </c>
      <c r="J103" s="7">
        <v>5</v>
      </c>
      <c r="K103" s="7">
        <v>4</v>
      </c>
      <c r="L103" s="7">
        <f>SUM(Data_Gabungan7[[#This Row],[Y1) Jika menerima undangan bergabung sebagai anggota HPFP, saya berniat menerimanya.]:[Y5) Saya berniat merekomendasikan keanggotaan HPFP kepada rekan sejawat saya.]])</f>
        <v>24</v>
      </c>
      <c r="M103" s="6" t="s">
        <v>51</v>
      </c>
      <c r="N103" s="6" t="s">
        <v>43</v>
      </c>
      <c r="O103" s="6" t="s">
        <v>71</v>
      </c>
      <c r="P103" s="6" t="s">
        <v>53</v>
      </c>
      <c r="Q103" s="6" t="s">
        <v>28</v>
      </c>
      <c r="R103" s="6" t="s">
        <v>41</v>
      </c>
    </row>
    <row r="104" spans="1:18" ht="22.5" customHeight="1" x14ac:dyDescent="0.35">
      <c r="A104" s="4">
        <v>3</v>
      </c>
      <c r="B104" s="9" t="s">
        <v>221</v>
      </c>
      <c r="C104" s="10">
        <v>33</v>
      </c>
      <c r="D104" s="9" t="s">
        <v>18</v>
      </c>
      <c r="E104" s="9" t="s">
        <v>38</v>
      </c>
      <c r="F104" s="8">
        <v>5</v>
      </c>
      <c r="G104" s="10">
        <v>4</v>
      </c>
      <c r="H104" s="10">
        <v>5</v>
      </c>
      <c r="I104" s="10">
        <v>5</v>
      </c>
      <c r="J104" s="10">
        <v>4</v>
      </c>
      <c r="K104" s="10">
        <v>5</v>
      </c>
      <c r="L104" s="10">
        <f>SUM(Data_Gabungan7[[#This Row],[Y1) Jika menerima undangan bergabung sebagai anggota HPFP, saya berniat menerimanya.]:[Y5) Saya berniat merekomendasikan keanggotaan HPFP kepada rekan sejawat saya.]])</f>
        <v>23</v>
      </c>
      <c r="M104" s="9" t="s">
        <v>51</v>
      </c>
      <c r="N104" s="9" t="s">
        <v>43</v>
      </c>
      <c r="O104" s="9" t="s">
        <v>77</v>
      </c>
      <c r="P104" s="9" t="s">
        <v>53</v>
      </c>
      <c r="Q104" s="9" t="s">
        <v>24</v>
      </c>
      <c r="R104" s="9" t="s">
        <v>41</v>
      </c>
    </row>
    <row r="105" spans="1:18" ht="22.5" customHeight="1" x14ac:dyDescent="0.35">
      <c r="A105" s="4">
        <v>3</v>
      </c>
      <c r="B105" s="6" t="s">
        <v>222</v>
      </c>
      <c r="C105" s="7">
        <v>35</v>
      </c>
      <c r="D105" s="6" t="s">
        <v>37</v>
      </c>
      <c r="E105" s="6" t="s">
        <v>38</v>
      </c>
      <c r="F105" s="8">
        <v>5</v>
      </c>
      <c r="G105" s="7">
        <v>5</v>
      </c>
      <c r="H105" s="7">
        <v>5</v>
      </c>
      <c r="I105" s="7">
        <v>5</v>
      </c>
      <c r="J105" s="7">
        <v>4</v>
      </c>
      <c r="K105" s="7">
        <v>4</v>
      </c>
      <c r="L105" s="7">
        <f>SUM(Data_Gabungan7[[#This Row],[Y1) Jika menerima undangan bergabung sebagai anggota HPFP, saya berniat menerimanya.]:[Y5) Saya berniat merekomendasikan keanggotaan HPFP kepada rekan sejawat saya.]])</f>
        <v>23</v>
      </c>
      <c r="M105" s="6" t="s">
        <v>20</v>
      </c>
      <c r="N105" s="6" t="s">
        <v>43</v>
      </c>
      <c r="O105" s="6" t="s">
        <v>83</v>
      </c>
      <c r="P105" s="6" t="s">
        <v>40</v>
      </c>
      <c r="Q105" s="6" t="s">
        <v>24</v>
      </c>
      <c r="R105" s="6" t="s">
        <v>41</v>
      </c>
    </row>
    <row r="106" spans="1:18" ht="22.5" customHeight="1" x14ac:dyDescent="0.35">
      <c r="A106" s="4">
        <v>3</v>
      </c>
      <c r="B106" s="9" t="s">
        <v>223</v>
      </c>
      <c r="C106" s="10">
        <v>31</v>
      </c>
      <c r="D106" s="9" t="s">
        <v>37</v>
      </c>
      <c r="E106" s="9" t="s">
        <v>19</v>
      </c>
      <c r="F106" s="8">
        <v>5</v>
      </c>
      <c r="G106" s="10">
        <v>4</v>
      </c>
      <c r="H106" s="10">
        <v>4</v>
      </c>
      <c r="I106" s="10">
        <v>5</v>
      </c>
      <c r="J106" s="10">
        <v>5</v>
      </c>
      <c r="K106" s="10">
        <v>5</v>
      </c>
      <c r="L106" s="10">
        <f>SUM(Data_Gabungan7[[#This Row],[Y1) Jika menerima undangan bergabung sebagai anggota HPFP, saya berniat menerimanya.]:[Y5) Saya berniat merekomendasikan keanggotaan HPFP kepada rekan sejawat saya.]])</f>
        <v>23</v>
      </c>
      <c r="M106" s="9" t="s">
        <v>20</v>
      </c>
      <c r="N106" s="9" t="s">
        <v>43</v>
      </c>
      <c r="O106" s="9" t="s">
        <v>224</v>
      </c>
      <c r="P106" s="9" t="s">
        <v>40</v>
      </c>
      <c r="Q106" s="9" t="s">
        <v>28</v>
      </c>
      <c r="R106" s="9" t="s">
        <v>41</v>
      </c>
    </row>
    <row r="107" spans="1:18" ht="22.5" customHeight="1" x14ac:dyDescent="0.35">
      <c r="A107" s="4">
        <v>3</v>
      </c>
      <c r="B107" s="6" t="s">
        <v>225</v>
      </c>
      <c r="C107" s="7">
        <v>36</v>
      </c>
      <c r="D107" s="6" t="s">
        <v>18</v>
      </c>
      <c r="E107" s="6" t="s">
        <v>38</v>
      </c>
      <c r="F107" s="8">
        <v>5</v>
      </c>
      <c r="G107" s="7">
        <v>5</v>
      </c>
      <c r="H107" s="7">
        <v>5</v>
      </c>
      <c r="I107" s="7">
        <v>5</v>
      </c>
      <c r="J107" s="7">
        <v>4</v>
      </c>
      <c r="K107" s="7">
        <v>4</v>
      </c>
      <c r="L107" s="7">
        <f>SUM(Data_Gabungan7[[#This Row],[Y1) Jika menerima undangan bergabung sebagai anggota HPFP, saya berniat menerimanya.]:[Y5) Saya berniat merekomendasikan keanggotaan HPFP kepada rekan sejawat saya.]])</f>
        <v>23</v>
      </c>
      <c r="M107" s="6" t="s">
        <v>20</v>
      </c>
      <c r="N107" s="6" t="s">
        <v>43</v>
      </c>
      <c r="O107" s="6" t="s">
        <v>226</v>
      </c>
      <c r="P107" s="6" t="s">
        <v>53</v>
      </c>
      <c r="Q107" s="6" t="s">
        <v>28</v>
      </c>
      <c r="R107" s="6" t="s">
        <v>41</v>
      </c>
    </row>
    <row r="108" spans="1:18" ht="22.5" customHeight="1" x14ac:dyDescent="0.35">
      <c r="A108" s="4">
        <v>3</v>
      </c>
      <c r="B108" s="9" t="s">
        <v>227</v>
      </c>
      <c r="C108" s="10">
        <v>33</v>
      </c>
      <c r="D108" s="9" t="s">
        <v>37</v>
      </c>
      <c r="E108" s="9" t="s">
        <v>38</v>
      </c>
      <c r="F108" s="8">
        <v>5</v>
      </c>
      <c r="G108" s="10">
        <v>5</v>
      </c>
      <c r="H108" s="10">
        <v>5</v>
      </c>
      <c r="I108" s="10">
        <v>5</v>
      </c>
      <c r="J108" s="10">
        <v>4</v>
      </c>
      <c r="K108" s="10">
        <v>5</v>
      </c>
      <c r="L108" s="10">
        <f>SUM(Data_Gabungan7[[#This Row],[Y1) Jika menerima undangan bergabung sebagai anggota HPFP, saya berniat menerimanya.]:[Y5) Saya berniat merekomendasikan keanggotaan HPFP kepada rekan sejawat saya.]])</f>
        <v>24</v>
      </c>
      <c r="M108" s="9" t="s">
        <v>51</v>
      </c>
      <c r="N108" s="9" t="s">
        <v>43</v>
      </c>
      <c r="O108" s="9" t="s">
        <v>83</v>
      </c>
      <c r="P108" s="9" t="s">
        <v>53</v>
      </c>
      <c r="Q108" s="9" t="s">
        <v>24</v>
      </c>
      <c r="R108" s="9" t="s">
        <v>41</v>
      </c>
    </row>
    <row r="109" spans="1:18" ht="22.5" customHeight="1" x14ac:dyDescent="0.35">
      <c r="A109" s="4">
        <v>3</v>
      </c>
      <c r="B109" s="6" t="s">
        <v>228</v>
      </c>
      <c r="C109" s="7">
        <v>48</v>
      </c>
      <c r="D109" s="6" t="s">
        <v>37</v>
      </c>
      <c r="E109" s="6" t="s">
        <v>38</v>
      </c>
      <c r="F109" s="8">
        <v>4</v>
      </c>
      <c r="G109" s="7">
        <v>5</v>
      </c>
      <c r="H109" s="7">
        <v>5</v>
      </c>
      <c r="I109" s="7">
        <v>5</v>
      </c>
      <c r="J109" s="7">
        <v>4</v>
      </c>
      <c r="K109" s="7">
        <v>5</v>
      </c>
      <c r="L109" s="7">
        <f>SUM(Data_Gabungan7[[#This Row],[Y1) Jika menerima undangan bergabung sebagai anggota HPFP, saya berniat menerimanya.]:[Y5) Saya berniat merekomendasikan keanggotaan HPFP kepada rekan sejawat saya.]])</f>
        <v>24</v>
      </c>
      <c r="M109" s="6" t="s">
        <v>20</v>
      </c>
      <c r="N109" s="6" t="s">
        <v>21</v>
      </c>
      <c r="O109" s="6" t="s">
        <v>107</v>
      </c>
      <c r="P109" s="6" t="s">
        <v>33</v>
      </c>
      <c r="Q109" s="6" t="s">
        <v>24</v>
      </c>
      <c r="R109" s="6" t="s">
        <v>25</v>
      </c>
    </row>
    <row r="110" spans="1:18" ht="22.5" customHeight="1" x14ac:dyDescent="0.35">
      <c r="A110" s="4">
        <v>3</v>
      </c>
      <c r="B110" s="9" t="s">
        <v>229</v>
      </c>
      <c r="C110" s="10">
        <v>28</v>
      </c>
      <c r="D110" s="9" t="s">
        <v>37</v>
      </c>
      <c r="E110" s="9" t="s">
        <v>38</v>
      </c>
      <c r="F110" s="8">
        <v>5</v>
      </c>
      <c r="G110" s="10">
        <v>4</v>
      </c>
      <c r="H110" s="10">
        <v>5</v>
      </c>
      <c r="I110" s="10">
        <v>5</v>
      </c>
      <c r="J110" s="10">
        <v>5</v>
      </c>
      <c r="K110" s="10">
        <v>5</v>
      </c>
      <c r="L110" s="10">
        <f>SUM(Data_Gabungan7[[#This Row],[Y1) Jika menerima undangan bergabung sebagai anggota HPFP, saya berniat menerimanya.]:[Y5) Saya berniat merekomendasikan keanggotaan HPFP kepada rekan sejawat saya.]])</f>
        <v>24</v>
      </c>
      <c r="M110" s="9" t="s">
        <v>20</v>
      </c>
      <c r="N110" s="9" t="s">
        <v>21</v>
      </c>
      <c r="O110" s="9" t="s">
        <v>230</v>
      </c>
      <c r="P110" s="9" t="s">
        <v>40</v>
      </c>
      <c r="Q110" s="9" t="s">
        <v>24</v>
      </c>
      <c r="R110" s="9" t="s">
        <v>41</v>
      </c>
    </row>
    <row r="111" spans="1:18" ht="22.5" customHeight="1" x14ac:dyDescent="0.35">
      <c r="A111" s="4">
        <v>3</v>
      </c>
      <c r="B111" s="6" t="s">
        <v>231</v>
      </c>
      <c r="C111" s="7">
        <v>36</v>
      </c>
      <c r="D111" s="6" t="s">
        <v>18</v>
      </c>
      <c r="E111" s="6" t="s">
        <v>38</v>
      </c>
      <c r="F111" s="8">
        <v>5</v>
      </c>
      <c r="G111" s="7">
        <v>5</v>
      </c>
      <c r="H111" s="7">
        <v>4</v>
      </c>
      <c r="I111" s="7">
        <v>5</v>
      </c>
      <c r="J111" s="7">
        <v>4</v>
      </c>
      <c r="K111" s="7">
        <v>5</v>
      </c>
      <c r="L111" s="7">
        <f>SUM(Data_Gabungan7[[#This Row],[Y1) Jika menerima undangan bergabung sebagai anggota HPFP, saya berniat menerimanya.]:[Y5) Saya berniat merekomendasikan keanggotaan HPFP kepada rekan sejawat saya.]])</f>
        <v>23</v>
      </c>
      <c r="M111" s="6" t="s">
        <v>20</v>
      </c>
      <c r="N111" s="6" t="s">
        <v>21</v>
      </c>
      <c r="O111" s="6" t="s">
        <v>232</v>
      </c>
      <c r="P111" s="6" t="s">
        <v>23</v>
      </c>
      <c r="Q111" s="6" t="s">
        <v>24</v>
      </c>
      <c r="R111" s="6" t="s">
        <v>41</v>
      </c>
    </row>
    <row r="112" spans="1:18" ht="22.5" customHeight="1" x14ac:dyDescent="0.35">
      <c r="A112" s="4">
        <v>3</v>
      </c>
      <c r="B112" s="9" t="s">
        <v>233</v>
      </c>
      <c r="C112" s="10">
        <v>30</v>
      </c>
      <c r="D112" s="9" t="s">
        <v>37</v>
      </c>
      <c r="E112" s="9" t="s">
        <v>38</v>
      </c>
      <c r="F112" s="8">
        <v>5</v>
      </c>
      <c r="G112" s="10">
        <v>5</v>
      </c>
      <c r="H112" s="10">
        <v>4</v>
      </c>
      <c r="I112" s="10">
        <v>4</v>
      </c>
      <c r="J112" s="10">
        <v>5</v>
      </c>
      <c r="K112" s="10">
        <v>5</v>
      </c>
      <c r="L112" s="10">
        <f>SUM(Data_Gabungan7[[#This Row],[Y1) Jika menerima undangan bergabung sebagai anggota HPFP, saya berniat menerimanya.]:[Y5) Saya berniat merekomendasikan keanggotaan HPFP kepada rekan sejawat saya.]])</f>
        <v>23</v>
      </c>
      <c r="M112" s="9" t="s">
        <v>20</v>
      </c>
      <c r="N112" s="9" t="s">
        <v>43</v>
      </c>
      <c r="O112" s="9" t="s">
        <v>67</v>
      </c>
      <c r="P112" s="9" t="s">
        <v>40</v>
      </c>
      <c r="Q112" s="9" t="s">
        <v>24</v>
      </c>
      <c r="R112" s="9" t="s">
        <v>41</v>
      </c>
    </row>
    <row r="113" spans="1:18" ht="22.5" customHeight="1" x14ac:dyDescent="0.35">
      <c r="A113" s="4">
        <v>3</v>
      </c>
      <c r="B113" s="6" t="s">
        <v>234</v>
      </c>
      <c r="C113" s="7">
        <v>44</v>
      </c>
      <c r="D113" s="6" t="s">
        <v>18</v>
      </c>
      <c r="E113" s="6" t="s">
        <v>19</v>
      </c>
      <c r="F113" s="8">
        <v>5</v>
      </c>
      <c r="G113" s="7">
        <v>5</v>
      </c>
      <c r="H113" s="7">
        <v>5</v>
      </c>
      <c r="I113" s="7">
        <v>5</v>
      </c>
      <c r="J113" s="7">
        <v>4</v>
      </c>
      <c r="K113" s="7">
        <v>5</v>
      </c>
      <c r="L113" s="7">
        <f>SUM(Data_Gabungan7[[#This Row],[Y1) Jika menerima undangan bergabung sebagai anggota HPFP, saya berniat menerimanya.]:[Y5) Saya berniat merekomendasikan keanggotaan HPFP kepada rekan sejawat saya.]])</f>
        <v>24</v>
      </c>
      <c r="M113" s="6" t="s">
        <v>20</v>
      </c>
      <c r="N113" s="6" t="s">
        <v>21</v>
      </c>
      <c r="O113" s="6" t="s">
        <v>235</v>
      </c>
      <c r="P113" s="6" t="s">
        <v>33</v>
      </c>
      <c r="Q113" s="6" t="s">
        <v>24</v>
      </c>
      <c r="R113" s="6" t="s">
        <v>25</v>
      </c>
    </row>
    <row r="114" spans="1:18" ht="22.5" customHeight="1" x14ac:dyDescent="0.35">
      <c r="A114" s="4">
        <v>3</v>
      </c>
      <c r="B114" s="9" t="s">
        <v>236</v>
      </c>
      <c r="C114" s="10">
        <v>30</v>
      </c>
      <c r="D114" s="9" t="s">
        <v>18</v>
      </c>
      <c r="E114" s="9" t="s">
        <v>38</v>
      </c>
      <c r="F114" s="8">
        <v>5</v>
      </c>
      <c r="G114" s="10">
        <v>5</v>
      </c>
      <c r="H114" s="10">
        <v>4</v>
      </c>
      <c r="I114" s="10">
        <v>5</v>
      </c>
      <c r="J114" s="10">
        <v>4</v>
      </c>
      <c r="K114" s="10">
        <v>5</v>
      </c>
      <c r="L114" s="10">
        <f>SUM(Data_Gabungan7[[#This Row],[Y1) Jika menerima undangan bergabung sebagai anggota HPFP, saya berniat menerimanya.]:[Y5) Saya berniat merekomendasikan keanggotaan HPFP kepada rekan sejawat saya.]])</f>
        <v>23</v>
      </c>
      <c r="M114" s="9" t="s">
        <v>20</v>
      </c>
      <c r="N114" s="9" t="s">
        <v>43</v>
      </c>
      <c r="O114" s="9" t="s">
        <v>87</v>
      </c>
      <c r="P114" s="9" t="s">
        <v>40</v>
      </c>
      <c r="Q114" s="9" t="s">
        <v>28</v>
      </c>
      <c r="R114" s="9" t="s">
        <v>41</v>
      </c>
    </row>
    <row r="115" spans="1:18" ht="22.5" customHeight="1" x14ac:dyDescent="0.35">
      <c r="A115" s="4">
        <v>3</v>
      </c>
      <c r="B115" s="6" t="s">
        <v>237</v>
      </c>
      <c r="C115" s="7">
        <v>32</v>
      </c>
      <c r="D115" s="6" t="s">
        <v>18</v>
      </c>
      <c r="E115" s="6" t="s">
        <v>19</v>
      </c>
      <c r="F115" s="8">
        <v>5</v>
      </c>
      <c r="G115" s="7">
        <v>5</v>
      </c>
      <c r="H115" s="7">
        <v>5</v>
      </c>
      <c r="I115" s="7">
        <v>5</v>
      </c>
      <c r="J115" s="7">
        <v>4</v>
      </c>
      <c r="K115" s="7">
        <v>5</v>
      </c>
      <c r="L115" s="7">
        <f>SUM(Data_Gabungan7[[#This Row],[Y1) Jika menerima undangan bergabung sebagai anggota HPFP, saya berniat menerimanya.]:[Y5) Saya berniat merekomendasikan keanggotaan HPFP kepada rekan sejawat saya.]])</f>
        <v>24</v>
      </c>
      <c r="M115" s="6" t="s">
        <v>20</v>
      </c>
      <c r="N115" s="6" t="s">
        <v>21</v>
      </c>
      <c r="O115" s="6" t="s">
        <v>238</v>
      </c>
      <c r="P115" s="6" t="s">
        <v>40</v>
      </c>
      <c r="Q115" s="6" t="s">
        <v>24</v>
      </c>
      <c r="R115" s="6" t="s">
        <v>41</v>
      </c>
    </row>
    <row r="116" spans="1:18" ht="22.5" customHeight="1" x14ac:dyDescent="0.35">
      <c r="A116" s="4">
        <v>3</v>
      </c>
      <c r="B116" s="9" t="s">
        <v>239</v>
      </c>
      <c r="C116" s="10">
        <v>58</v>
      </c>
      <c r="D116" s="9" t="s">
        <v>18</v>
      </c>
      <c r="E116" s="9" t="s">
        <v>19</v>
      </c>
      <c r="F116" s="8">
        <v>5</v>
      </c>
      <c r="G116" s="10">
        <v>5</v>
      </c>
      <c r="H116" s="10">
        <v>5</v>
      </c>
      <c r="I116" s="10">
        <v>5</v>
      </c>
      <c r="J116" s="10">
        <v>5</v>
      </c>
      <c r="K116" s="10">
        <v>5</v>
      </c>
      <c r="L116" s="10">
        <f>SUM(Data_Gabungan7[[#This Row],[Y1) Jika menerima undangan bergabung sebagai anggota HPFP, saya berniat menerimanya.]:[Y5) Saya berniat merekomendasikan keanggotaan HPFP kepada rekan sejawat saya.]])</f>
        <v>25</v>
      </c>
      <c r="M116" s="9" t="s">
        <v>20</v>
      </c>
      <c r="N116" s="9" t="s">
        <v>43</v>
      </c>
      <c r="O116" s="9" t="s">
        <v>83</v>
      </c>
      <c r="P116" s="9" t="s">
        <v>33</v>
      </c>
      <c r="Q116" s="9" t="s">
        <v>28</v>
      </c>
      <c r="R116" s="9" t="s">
        <v>25</v>
      </c>
    </row>
    <row r="117" spans="1:18" ht="22.5" customHeight="1" x14ac:dyDescent="0.35">
      <c r="A117" s="4">
        <v>3</v>
      </c>
      <c r="B117" s="6" t="s">
        <v>240</v>
      </c>
      <c r="C117" s="7">
        <v>50</v>
      </c>
      <c r="D117" s="6" t="s">
        <v>18</v>
      </c>
      <c r="E117" s="6" t="s">
        <v>38</v>
      </c>
      <c r="F117" s="8">
        <v>4</v>
      </c>
      <c r="G117" s="7">
        <v>5</v>
      </c>
      <c r="H117" s="7">
        <v>5</v>
      </c>
      <c r="I117" s="7">
        <v>4</v>
      </c>
      <c r="J117" s="7">
        <v>5</v>
      </c>
      <c r="K117" s="7">
        <v>5</v>
      </c>
      <c r="L117" s="7">
        <f>SUM(Data_Gabungan7[[#This Row],[Y1) Jika menerima undangan bergabung sebagai anggota HPFP, saya berniat menerimanya.]:[Y5) Saya berniat merekomendasikan keanggotaan HPFP kepada rekan sejawat saya.]])</f>
        <v>24</v>
      </c>
      <c r="M117" s="6" t="s">
        <v>20</v>
      </c>
      <c r="N117" s="6" t="s">
        <v>21</v>
      </c>
      <c r="O117" s="6" t="s">
        <v>241</v>
      </c>
      <c r="P117" s="6" t="s">
        <v>33</v>
      </c>
      <c r="Q117" s="6" t="s">
        <v>24</v>
      </c>
      <c r="R117" s="6" t="s">
        <v>25</v>
      </c>
    </row>
    <row r="118" spans="1:18" ht="22.5" customHeight="1" x14ac:dyDescent="0.35">
      <c r="A118" s="4">
        <v>3</v>
      </c>
      <c r="B118" s="9" t="s">
        <v>242</v>
      </c>
      <c r="C118" s="10">
        <v>48</v>
      </c>
      <c r="D118" s="9" t="s">
        <v>18</v>
      </c>
      <c r="E118" s="9" t="s">
        <v>38</v>
      </c>
      <c r="F118" s="8">
        <v>4</v>
      </c>
      <c r="G118" s="10">
        <v>5</v>
      </c>
      <c r="H118" s="10">
        <v>5</v>
      </c>
      <c r="I118" s="10">
        <v>4</v>
      </c>
      <c r="J118" s="10">
        <v>4</v>
      </c>
      <c r="K118" s="10">
        <v>4</v>
      </c>
      <c r="L118" s="10">
        <f>SUM(Data_Gabungan7[[#This Row],[Y1) Jika menerima undangan bergabung sebagai anggota HPFP, saya berniat menerimanya.]:[Y5) Saya berniat merekomendasikan keanggotaan HPFP kepada rekan sejawat saya.]])</f>
        <v>22</v>
      </c>
      <c r="M118" s="9" t="s">
        <v>20</v>
      </c>
      <c r="N118" s="9" t="s">
        <v>21</v>
      </c>
      <c r="O118" s="9" t="s">
        <v>180</v>
      </c>
      <c r="P118" s="9" t="s">
        <v>33</v>
      </c>
      <c r="Q118" s="9" t="s">
        <v>28</v>
      </c>
      <c r="R118" s="9" t="s">
        <v>25</v>
      </c>
    </row>
    <row r="119" spans="1:18" ht="22.5" customHeight="1" x14ac:dyDescent="0.35">
      <c r="A119" s="4">
        <v>3</v>
      </c>
      <c r="B119" s="6" t="s">
        <v>243</v>
      </c>
      <c r="C119" s="7">
        <v>45</v>
      </c>
      <c r="D119" s="6" t="s">
        <v>18</v>
      </c>
      <c r="E119" s="6" t="s">
        <v>19</v>
      </c>
      <c r="F119" s="8">
        <v>5</v>
      </c>
      <c r="G119" s="7">
        <v>4</v>
      </c>
      <c r="H119" s="7">
        <v>5</v>
      </c>
      <c r="I119" s="7">
        <v>5</v>
      </c>
      <c r="J119" s="7">
        <v>5</v>
      </c>
      <c r="K119" s="7">
        <v>5</v>
      </c>
      <c r="L119" s="7">
        <f>SUM(Data_Gabungan7[[#This Row],[Y1) Jika menerima undangan bergabung sebagai anggota HPFP, saya berniat menerimanya.]:[Y5) Saya berniat merekomendasikan keanggotaan HPFP kepada rekan sejawat saya.]])</f>
        <v>24</v>
      </c>
      <c r="M119" s="6" t="s">
        <v>20</v>
      </c>
      <c r="N119" s="6" t="s">
        <v>43</v>
      </c>
      <c r="O119" s="6" t="s">
        <v>67</v>
      </c>
      <c r="P119" s="6" t="s">
        <v>33</v>
      </c>
      <c r="Q119" s="6" t="s">
        <v>24</v>
      </c>
      <c r="R119" s="6" t="s">
        <v>25</v>
      </c>
    </row>
    <row r="120" spans="1:18" ht="22.5" customHeight="1" x14ac:dyDescent="0.35">
      <c r="A120" s="4">
        <v>3</v>
      </c>
      <c r="B120" s="9" t="s">
        <v>244</v>
      </c>
      <c r="C120" s="10">
        <v>40</v>
      </c>
      <c r="D120" s="9" t="s">
        <v>18</v>
      </c>
      <c r="E120" s="9" t="s">
        <v>198</v>
      </c>
      <c r="F120" s="8">
        <v>5</v>
      </c>
      <c r="G120" s="10">
        <v>4</v>
      </c>
      <c r="H120" s="10">
        <v>5</v>
      </c>
      <c r="I120" s="10">
        <v>5</v>
      </c>
      <c r="J120" s="10">
        <v>5</v>
      </c>
      <c r="K120" s="10">
        <v>5</v>
      </c>
      <c r="L120" s="10">
        <f>SUM(Data_Gabungan7[[#This Row],[Y1) Jika menerima undangan bergabung sebagai anggota HPFP, saya berniat menerimanya.]:[Y5) Saya berniat merekomendasikan keanggotaan HPFP kepada rekan sejawat saya.]])</f>
        <v>24</v>
      </c>
      <c r="M120" s="9" t="s">
        <v>51</v>
      </c>
      <c r="N120" s="9" t="s">
        <v>43</v>
      </c>
      <c r="O120" s="9" t="s">
        <v>83</v>
      </c>
      <c r="P120" s="9" t="s">
        <v>53</v>
      </c>
      <c r="Q120" s="9" t="s">
        <v>124</v>
      </c>
      <c r="R120" s="9" t="s">
        <v>125</v>
      </c>
    </row>
    <row r="121" spans="1:18" ht="22.5" customHeight="1" x14ac:dyDescent="0.35">
      <c r="A121" s="4">
        <v>3</v>
      </c>
      <c r="B121" s="6" t="s">
        <v>245</v>
      </c>
      <c r="C121" s="7">
        <v>32</v>
      </c>
      <c r="D121" s="6" t="s">
        <v>18</v>
      </c>
      <c r="E121" s="6" t="s">
        <v>38</v>
      </c>
      <c r="F121" s="8">
        <v>4</v>
      </c>
      <c r="G121" s="7">
        <v>5</v>
      </c>
      <c r="H121" s="7">
        <v>5</v>
      </c>
      <c r="I121" s="7">
        <v>5</v>
      </c>
      <c r="J121" s="7">
        <v>4</v>
      </c>
      <c r="K121" s="7">
        <v>5</v>
      </c>
      <c r="L121" s="7">
        <f>SUM(Data_Gabungan7[[#This Row],[Y1) Jika menerima undangan bergabung sebagai anggota HPFP, saya berniat menerimanya.]:[Y5) Saya berniat merekomendasikan keanggotaan HPFP kepada rekan sejawat saya.]])</f>
        <v>24</v>
      </c>
      <c r="M121" s="6" t="s">
        <v>20</v>
      </c>
      <c r="N121" s="6" t="s">
        <v>21</v>
      </c>
      <c r="O121" s="6" t="s">
        <v>113</v>
      </c>
      <c r="P121" s="6" t="s">
        <v>40</v>
      </c>
      <c r="Q121" s="6" t="s">
        <v>24</v>
      </c>
      <c r="R121" s="6" t="s">
        <v>41</v>
      </c>
    </row>
    <row r="122" spans="1:18" ht="22.5" customHeight="1" x14ac:dyDescent="0.35">
      <c r="A122" s="4">
        <v>3</v>
      </c>
      <c r="B122" s="9" t="s">
        <v>246</v>
      </c>
      <c r="C122" s="10">
        <v>45</v>
      </c>
      <c r="D122" s="9" t="s">
        <v>18</v>
      </c>
      <c r="E122" s="9" t="s">
        <v>38</v>
      </c>
      <c r="F122" s="8">
        <v>4</v>
      </c>
      <c r="G122" s="10">
        <v>4</v>
      </c>
      <c r="H122" s="10">
        <v>5</v>
      </c>
      <c r="I122" s="10">
        <v>4</v>
      </c>
      <c r="J122" s="10">
        <v>4</v>
      </c>
      <c r="K122" s="10">
        <v>5</v>
      </c>
      <c r="L122" s="10">
        <f>SUM(Data_Gabungan7[[#This Row],[Y1) Jika menerima undangan bergabung sebagai anggota HPFP, saya berniat menerimanya.]:[Y5) Saya berniat merekomendasikan keanggotaan HPFP kepada rekan sejawat saya.]])</f>
        <v>22</v>
      </c>
      <c r="M122" s="9" t="s">
        <v>20</v>
      </c>
      <c r="N122" s="9" t="s">
        <v>21</v>
      </c>
      <c r="O122" s="9" t="s">
        <v>247</v>
      </c>
      <c r="P122" s="9" t="s">
        <v>23</v>
      </c>
      <c r="Q122" s="9" t="s">
        <v>28</v>
      </c>
      <c r="R122" s="9" t="s">
        <v>25</v>
      </c>
    </row>
    <row r="123" spans="1:18" ht="22.5" customHeight="1" x14ac:dyDescent="0.35">
      <c r="A123" s="4">
        <v>3</v>
      </c>
      <c r="B123" s="6" t="s">
        <v>248</v>
      </c>
      <c r="C123" s="7">
        <v>38</v>
      </c>
      <c r="D123" s="6" t="s">
        <v>37</v>
      </c>
      <c r="E123" s="6" t="s">
        <v>38</v>
      </c>
      <c r="F123" s="8">
        <v>5</v>
      </c>
      <c r="G123" s="7">
        <v>5</v>
      </c>
      <c r="H123" s="7">
        <v>4</v>
      </c>
      <c r="I123" s="7">
        <v>5</v>
      </c>
      <c r="J123" s="7">
        <v>4</v>
      </c>
      <c r="K123" s="7">
        <v>5</v>
      </c>
      <c r="L123" s="7">
        <f>SUM(Data_Gabungan7[[#This Row],[Y1) Jika menerima undangan bergabung sebagai anggota HPFP, saya berniat menerimanya.]:[Y5) Saya berniat merekomendasikan keanggotaan HPFP kepada rekan sejawat saya.]])</f>
        <v>23</v>
      </c>
      <c r="M123" s="6" t="s">
        <v>20</v>
      </c>
      <c r="N123" s="6" t="s">
        <v>21</v>
      </c>
      <c r="O123" s="6" t="s">
        <v>249</v>
      </c>
      <c r="P123" s="6" t="s">
        <v>23</v>
      </c>
      <c r="Q123" s="6" t="s">
        <v>24</v>
      </c>
      <c r="R123" s="6" t="s">
        <v>41</v>
      </c>
    </row>
    <row r="124" spans="1:18" ht="22.5" customHeight="1" x14ac:dyDescent="0.35">
      <c r="A124" s="4">
        <v>3</v>
      </c>
      <c r="B124" s="9" t="s">
        <v>250</v>
      </c>
      <c r="C124" s="10">
        <v>27</v>
      </c>
      <c r="D124" s="9" t="s">
        <v>37</v>
      </c>
      <c r="E124" s="9" t="s">
        <v>38</v>
      </c>
      <c r="F124" s="8">
        <v>5</v>
      </c>
      <c r="G124" s="10">
        <v>4</v>
      </c>
      <c r="H124" s="10">
        <v>4</v>
      </c>
      <c r="I124" s="10">
        <v>4</v>
      </c>
      <c r="J124" s="10">
        <v>5</v>
      </c>
      <c r="K124" s="10">
        <v>4</v>
      </c>
      <c r="L124" s="10">
        <f>SUM(Data_Gabungan7[[#This Row],[Y1) Jika menerima undangan bergabung sebagai anggota HPFP, saya berniat menerimanya.]:[Y5) Saya berniat merekomendasikan keanggotaan HPFP kepada rekan sejawat saya.]])</f>
        <v>21</v>
      </c>
      <c r="M124" s="9" t="s">
        <v>51</v>
      </c>
      <c r="N124" s="9" t="s">
        <v>43</v>
      </c>
      <c r="O124" s="9" t="s">
        <v>67</v>
      </c>
      <c r="P124" s="9" t="s">
        <v>53</v>
      </c>
      <c r="Q124" s="9" t="s">
        <v>24</v>
      </c>
      <c r="R124" s="9" t="s">
        <v>41</v>
      </c>
    </row>
    <row r="125" spans="1:18" ht="22.5" customHeight="1" x14ac:dyDescent="0.35">
      <c r="A125" s="4">
        <v>3</v>
      </c>
      <c r="B125" s="6" t="s">
        <v>243</v>
      </c>
      <c r="C125" s="7">
        <v>45</v>
      </c>
      <c r="D125" s="6" t="s">
        <v>18</v>
      </c>
      <c r="E125" s="6" t="s">
        <v>19</v>
      </c>
      <c r="F125" s="8">
        <v>3</v>
      </c>
      <c r="G125" s="7">
        <v>4</v>
      </c>
      <c r="H125" s="7">
        <v>5</v>
      </c>
      <c r="I125" s="7">
        <v>4</v>
      </c>
      <c r="J125" s="7">
        <v>4</v>
      </c>
      <c r="K125" s="7">
        <v>5</v>
      </c>
      <c r="L125" s="7">
        <f>SUM(Data_Gabungan7[[#This Row],[Y1) Jika menerima undangan bergabung sebagai anggota HPFP, saya berniat menerimanya.]:[Y5) Saya berniat merekomendasikan keanggotaan HPFP kepada rekan sejawat saya.]])</f>
        <v>22</v>
      </c>
      <c r="M125" s="6" t="s">
        <v>20</v>
      </c>
      <c r="N125" s="6" t="s">
        <v>21</v>
      </c>
      <c r="O125" s="6" t="s">
        <v>251</v>
      </c>
      <c r="P125" s="6" t="s">
        <v>33</v>
      </c>
      <c r="Q125" s="6" t="s">
        <v>24</v>
      </c>
      <c r="R125" s="6" t="s">
        <v>25</v>
      </c>
    </row>
    <row r="126" spans="1:18" ht="22.5" customHeight="1" x14ac:dyDescent="0.35">
      <c r="A126" s="4">
        <v>4</v>
      </c>
      <c r="B126" s="6" t="s">
        <v>252</v>
      </c>
      <c r="C126" s="7">
        <v>46</v>
      </c>
      <c r="D126" s="6" t="s">
        <v>37</v>
      </c>
      <c r="E126" s="6" t="s">
        <v>19</v>
      </c>
      <c r="F126" s="8">
        <v>5</v>
      </c>
      <c r="G126" s="7">
        <v>5</v>
      </c>
      <c r="H126" s="7">
        <v>5</v>
      </c>
      <c r="I126" s="7">
        <v>5</v>
      </c>
      <c r="J126" s="7">
        <v>2</v>
      </c>
      <c r="K126" s="7">
        <v>4</v>
      </c>
      <c r="L126" s="7">
        <f>SUM(Data_Gabungan7[[#This Row],[Y1) Jika menerima undangan bergabung sebagai anggota HPFP, saya berniat menerimanya.]:[Y5) Saya berniat merekomendasikan keanggotaan HPFP kepada rekan sejawat saya.]])</f>
        <v>21</v>
      </c>
      <c r="M126" s="6" t="s">
        <v>20</v>
      </c>
      <c r="N126" s="6" t="s">
        <v>21</v>
      </c>
      <c r="O126" s="6" t="s">
        <v>253</v>
      </c>
      <c r="P126" s="6" t="s">
        <v>23</v>
      </c>
      <c r="Q126" s="6" t="s">
        <v>24</v>
      </c>
      <c r="R126" s="6" t="s">
        <v>25</v>
      </c>
    </row>
    <row r="127" spans="1:18" ht="22.5" customHeight="1" x14ac:dyDescent="0.35">
      <c r="A127" s="4">
        <v>4</v>
      </c>
      <c r="B127" s="6" t="s">
        <v>254</v>
      </c>
      <c r="C127" s="7">
        <v>37</v>
      </c>
      <c r="D127" s="6" t="s">
        <v>18</v>
      </c>
      <c r="E127" s="6" t="s">
        <v>19</v>
      </c>
      <c r="F127" s="8">
        <v>5</v>
      </c>
      <c r="G127" s="7">
        <v>4</v>
      </c>
      <c r="H127" s="7">
        <v>5</v>
      </c>
      <c r="I127" s="7">
        <v>5</v>
      </c>
      <c r="J127" s="7">
        <v>3</v>
      </c>
      <c r="K127" s="7">
        <v>5</v>
      </c>
      <c r="L127" s="7">
        <f>SUM(Data_Gabungan7[[#This Row],[Y1) Jika menerima undangan bergabung sebagai anggota HPFP, saya berniat menerimanya.]:[Y5) Saya berniat merekomendasikan keanggotaan HPFP kepada rekan sejawat saya.]])</f>
        <v>22</v>
      </c>
      <c r="M127" s="6" t="s">
        <v>20</v>
      </c>
      <c r="N127" s="6" t="s">
        <v>43</v>
      </c>
      <c r="O127" s="6" t="s">
        <v>255</v>
      </c>
      <c r="P127" s="6" t="s">
        <v>40</v>
      </c>
      <c r="Q127" s="6" t="s">
        <v>24</v>
      </c>
      <c r="R127" s="6" t="s">
        <v>25</v>
      </c>
    </row>
    <row r="128" spans="1:18" ht="22.5" customHeight="1" x14ac:dyDescent="0.35">
      <c r="A128" s="4">
        <v>4</v>
      </c>
      <c r="B128" s="6" t="s">
        <v>256</v>
      </c>
      <c r="C128" s="7">
        <v>54</v>
      </c>
      <c r="D128" s="6" t="s">
        <v>18</v>
      </c>
      <c r="E128" s="6" t="s">
        <v>19</v>
      </c>
      <c r="F128" s="8">
        <v>4</v>
      </c>
      <c r="G128" s="7">
        <v>2</v>
      </c>
      <c r="H128" s="7">
        <v>2</v>
      </c>
      <c r="I128" s="7">
        <v>2</v>
      </c>
      <c r="J128" s="7">
        <v>4</v>
      </c>
      <c r="K128" s="7">
        <v>2</v>
      </c>
      <c r="L128" s="7">
        <f>SUM(Data_Gabungan7[[#This Row],[Y1) Jika menerima undangan bergabung sebagai anggota HPFP, saya berniat menerimanya.]:[Y5) Saya berniat merekomendasikan keanggotaan HPFP kepada rekan sejawat saya.]])</f>
        <v>12</v>
      </c>
      <c r="M128" s="6" t="s">
        <v>20</v>
      </c>
      <c r="N128" s="6" t="s">
        <v>21</v>
      </c>
      <c r="O128" s="6" t="s">
        <v>184</v>
      </c>
      <c r="P128" s="6" t="s">
        <v>33</v>
      </c>
      <c r="Q128" s="6" t="s">
        <v>28</v>
      </c>
      <c r="R128" s="6" t="s">
        <v>25</v>
      </c>
    </row>
    <row r="129" spans="1:18" ht="22.5" customHeight="1" x14ac:dyDescent="0.35">
      <c r="A129" s="4">
        <v>4</v>
      </c>
      <c r="B129" s="6" t="s">
        <v>257</v>
      </c>
      <c r="C129" s="7">
        <v>51</v>
      </c>
      <c r="D129" s="6" t="s">
        <v>37</v>
      </c>
      <c r="E129" s="6" t="s">
        <v>19</v>
      </c>
      <c r="F129" s="8">
        <v>5</v>
      </c>
      <c r="G129" s="7">
        <v>5</v>
      </c>
      <c r="H129" s="7">
        <v>5</v>
      </c>
      <c r="I129" s="7">
        <v>5</v>
      </c>
      <c r="J129" s="7">
        <v>1</v>
      </c>
      <c r="K129" s="7">
        <v>5</v>
      </c>
      <c r="L129" s="7">
        <f>SUM(Data_Gabungan7[[#This Row],[Y1) Jika menerima undangan bergabung sebagai anggota HPFP, saya berniat menerimanya.]:[Y5) Saya berniat merekomendasikan keanggotaan HPFP kepada rekan sejawat saya.]])</f>
        <v>21</v>
      </c>
      <c r="M129" s="6" t="s">
        <v>20</v>
      </c>
      <c r="N129" s="6" t="s">
        <v>21</v>
      </c>
      <c r="O129" s="6" t="s">
        <v>258</v>
      </c>
      <c r="P129" s="6" t="s">
        <v>33</v>
      </c>
      <c r="Q129" s="6" t="s">
        <v>24</v>
      </c>
      <c r="R129" s="6" t="s">
        <v>47</v>
      </c>
    </row>
    <row r="130" spans="1:18" ht="22.5" customHeight="1" x14ac:dyDescent="0.35">
      <c r="A130" s="4">
        <v>4</v>
      </c>
      <c r="B130" s="6" t="s">
        <v>381</v>
      </c>
      <c r="C130" s="7">
        <v>31</v>
      </c>
      <c r="D130" s="6" t="s">
        <v>37</v>
      </c>
      <c r="E130" s="6" t="s">
        <v>38</v>
      </c>
      <c r="F130" s="8">
        <v>5</v>
      </c>
      <c r="G130" s="7">
        <v>5</v>
      </c>
      <c r="H130" s="7">
        <v>5</v>
      </c>
      <c r="I130" s="7">
        <v>4</v>
      </c>
      <c r="J130" s="7">
        <v>2</v>
      </c>
      <c r="K130" s="7">
        <v>5</v>
      </c>
      <c r="L130" s="7">
        <f>SUM(Data_Gabungan7[[#This Row],[Y1) Jika menerima undangan bergabung sebagai anggota HPFP, saya berniat menerimanya.]:[Y5) Saya berniat merekomendasikan keanggotaan HPFP kepada rekan sejawat saya.]])</f>
        <v>21</v>
      </c>
      <c r="M130" s="6" t="s">
        <v>20</v>
      </c>
      <c r="N130" s="6" t="s">
        <v>43</v>
      </c>
      <c r="O130" s="6" t="s">
        <v>259</v>
      </c>
      <c r="P130" s="6" t="s">
        <v>40</v>
      </c>
      <c r="Q130" s="6" t="s">
        <v>28</v>
      </c>
      <c r="R130" s="6" t="s">
        <v>41</v>
      </c>
    </row>
    <row r="131" spans="1:18" ht="22.5" customHeight="1" x14ac:dyDescent="0.35">
      <c r="A131" s="4">
        <v>4</v>
      </c>
      <c r="B131" s="6" t="s">
        <v>260</v>
      </c>
      <c r="C131" s="7">
        <v>41</v>
      </c>
      <c r="D131" s="6" t="s">
        <v>18</v>
      </c>
      <c r="E131" s="6" t="s">
        <v>19</v>
      </c>
      <c r="F131" s="8">
        <v>5</v>
      </c>
      <c r="G131" s="7">
        <v>5</v>
      </c>
      <c r="H131" s="7">
        <v>5</v>
      </c>
      <c r="I131" s="7">
        <v>5</v>
      </c>
      <c r="J131" s="7">
        <v>1</v>
      </c>
      <c r="K131" s="7">
        <v>4</v>
      </c>
      <c r="L131" s="7">
        <f>SUM(Data_Gabungan7[[#This Row],[Y1) Jika menerima undangan bergabung sebagai anggota HPFP, saya berniat menerimanya.]:[Y5) Saya berniat merekomendasikan keanggotaan HPFP kepada rekan sejawat saya.]])</f>
        <v>20</v>
      </c>
      <c r="M131" s="6" t="s">
        <v>20</v>
      </c>
      <c r="N131" s="6" t="s">
        <v>43</v>
      </c>
      <c r="O131" s="6" t="s">
        <v>261</v>
      </c>
      <c r="P131" s="6" t="s">
        <v>23</v>
      </c>
      <c r="Q131" s="6" t="s">
        <v>28</v>
      </c>
      <c r="R131" s="6" t="s">
        <v>25</v>
      </c>
    </row>
    <row r="132" spans="1:18" ht="22.5" customHeight="1" x14ac:dyDescent="0.35">
      <c r="A132" s="4">
        <v>4</v>
      </c>
      <c r="B132" s="6" t="s">
        <v>262</v>
      </c>
      <c r="C132" s="7">
        <v>27</v>
      </c>
      <c r="D132" s="6" t="s">
        <v>37</v>
      </c>
      <c r="E132" s="6" t="s">
        <v>38</v>
      </c>
      <c r="F132" s="8">
        <v>4</v>
      </c>
      <c r="G132" s="7">
        <v>4</v>
      </c>
      <c r="H132" s="7">
        <v>4</v>
      </c>
      <c r="I132" s="7">
        <v>5</v>
      </c>
      <c r="J132" s="7">
        <v>1</v>
      </c>
      <c r="K132" s="7">
        <v>4</v>
      </c>
      <c r="L132" s="7">
        <f>SUM(Data_Gabungan7[[#This Row],[Y1) Jika menerima undangan bergabung sebagai anggota HPFP, saya berniat menerimanya.]:[Y5) Saya berniat merekomendasikan keanggotaan HPFP kepada rekan sejawat saya.]])</f>
        <v>18</v>
      </c>
      <c r="M132" s="6" t="s">
        <v>20</v>
      </c>
      <c r="N132" s="6" t="s">
        <v>43</v>
      </c>
      <c r="O132" s="6" t="s">
        <v>263</v>
      </c>
      <c r="P132" s="6" t="s">
        <v>137</v>
      </c>
      <c r="Q132" s="6" t="s">
        <v>24</v>
      </c>
      <c r="R132" s="6" t="s">
        <v>41</v>
      </c>
    </row>
    <row r="133" spans="1:18" ht="22.5" customHeight="1" x14ac:dyDescent="0.35">
      <c r="A133" s="4">
        <v>4</v>
      </c>
      <c r="B133" s="6" t="s">
        <v>264</v>
      </c>
      <c r="C133" s="7">
        <v>49</v>
      </c>
      <c r="D133" s="6" t="s">
        <v>37</v>
      </c>
      <c r="E133" s="6" t="s">
        <v>19</v>
      </c>
      <c r="F133" s="8">
        <v>5</v>
      </c>
      <c r="G133" s="7">
        <v>5</v>
      </c>
      <c r="H133" s="7">
        <v>5</v>
      </c>
      <c r="I133" s="7">
        <v>5</v>
      </c>
      <c r="J133" s="7">
        <v>1</v>
      </c>
      <c r="K133" s="7">
        <v>5</v>
      </c>
      <c r="L133" s="7">
        <f>SUM(Data_Gabungan7[[#This Row],[Y1) Jika menerima undangan bergabung sebagai anggota HPFP, saya berniat menerimanya.]:[Y5) Saya berniat merekomendasikan keanggotaan HPFP kepada rekan sejawat saya.]])</f>
        <v>21</v>
      </c>
      <c r="M133" s="6" t="s">
        <v>20</v>
      </c>
      <c r="N133" s="6" t="s">
        <v>21</v>
      </c>
      <c r="O133" s="6" t="s">
        <v>265</v>
      </c>
      <c r="P133" s="6" t="s">
        <v>33</v>
      </c>
      <c r="Q133" s="6" t="s">
        <v>24</v>
      </c>
      <c r="R133" s="6" t="s">
        <v>47</v>
      </c>
    </row>
    <row r="134" spans="1:18" ht="22.5" customHeight="1" x14ac:dyDescent="0.35">
      <c r="A134" s="4">
        <v>4</v>
      </c>
      <c r="B134" s="6" t="s">
        <v>266</v>
      </c>
      <c r="C134" s="7">
        <v>44</v>
      </c>
      <c r="D134" s="6" t="s">
        <v>18</v>
      </c>
      <c r="E134" s="6" t="s">
        <v>19</v>
      </c>
      <c r="F134" s="8">
        <v>5</v>
      </c>
      <c r="G134" s="7">
        <v>5</v>
      </c>
      <c r="H134" s="7">
        <v>5</v>
      </c>
      <c r="I134" s="7">
        <v>5</v>
      </c>
      <c r="J134" s="7">
        <v>1</v>
      </c>
      <c r="K134" s="7">
        <v>5</v>
      </c>
      <c r="L134" s="7">
        <f>SUM(Data_Gabungan7[[#This Row],[Y1) Jika menerima undangan bergabung sebagai anggota HPFP, saya berniat menerimanya.]:[Y5) Saya berniat merekomendasikan keanggotaan HPFP kepada rekan sejawat saya.]])</f>
        <v>21</v>
      </c>
      <c r="M134" s="6" t="s">
        <v>20</v>
      </c>
      <c r="N134" s="6" t="s">
        <v>21</v>
      </c>
      <c r="O134" s="6" t="s">
        <v>267</v>
      </c>
      <c r="P134" s="6" t="s">
        <v>33</v>
      </c>
      <c r="Q134" s="6" t="s">
        <v>24</v>
      </c>
      <c r="R134" s="6" t="s">
        <v>25</v>
      </c>
    </row>
    <row r="135" spans="1:18" ht="22.5" customHeight="1" x14ac:dyDescent="0.35">
      <c r="A135" s="4">
        <v>4</v>
      </c>
      <c r="B135" s="6" t="s">
        <v>268</v>
      </c>
      <c r="C135" s="7">
        <v>31</v>
      </c>
      <c r="D135" s="6" t="s">
        <v>37</v>
      </c>
      <c r="E135" s="6" t="s">
        <v>198</v>
      </c>
      <c r="F135" s="8">
        <v>4</v>
      </c>
      <c r="G135" s="7">
        <v>3</v>
      </c>
      <c r="H135" s="7">
        <v>3</v>
      </c>
      <c r="I135" s="7">
        <v>4</v>
      </c>
      <c r="J135" s="7">
        <v>2</v>
      </c>
      <c r="K135" s="7">
        <v>3</v>
      </c>
      <c r="L135" s="7">
        <f>SUM(Data_Gabungan7[[#This Row],[Y1) Jika menerima undangan bergabung sebagai anggota HPFP, saya berniat menerimanya.]:[Y5) Saya berniat merekomendasikan keanggotaan HPFP kepada rekan sejawat saya.]])</f>
        <v>15</v>
      </c>
      <c r="M135" s="6" t="s">
        <v>20</v>
      </c>
      <c r="N135" s="6" t="s">
        <v>21</v>
      </c>
      <c r="O135" s="6" t="s">
        <v>269</v>
      </c>
      <c r="P135" s="6" t="s">
        <v>53</v>
      </c>
      <c r="Q135" s="6" t="s">
        <v>270</v>
      </c>
      <c r="R135" s="6" t="s">
        <v>125</v>
      </c>
    </row>
    <row r="136" spans="1:18" ht="22.5" customHeight="1" x14ac:dyDescent="0.35">
      <c r="A136" s="4">
        <v>4</v>
      </c>
      <c r="B136" s="6" t="s">
        <v>271</v>
      </c>
      <c r="C136" s="7">
        <v>30</v>
      </c>
      <c r="D136" s="6" t="s">
        <v>18</v>
      </c>
      <c r="E136" s="6" t="s">
        <v>38</v>
      </c>
      <c r="F136" s="8">
        <v>3</v>
      </c>
      <c r="G136" s="7">
        <v>5</v>
      </c>
      <c r="H136" s="7">
        <v>4</v>
      </c>
      <c r="I136" s="7">
        <v>5</v>
      </c>
      <c r="J136" s="7">
        <v>3</v>
      </c>
      <c r="K136" s="7">
        <v>5</v>
      </c>
      <c r="L136" s="7">
        <f>SUM(Data_Gabungan7[[#This Row],[Y1) Jika menerima undangan bergabung sebagai anggota HPFP, saya berniat menerimanya.]:[Y5) Saya berniat merekomendasikan keanggotaan HPFP kepada rekan sejawat saya.]])</f>
        <v>22</v>
      </c>
      <c r="M136" s="6" t="s">
        <v>20</v>
      </c>
      <c r="N136" s="6" t="s">
        <v>21</v>
      </c>
      <c r="O136" s="6" t="s">
        <v>272</v>
      </c>
      <c r="P136" s="6" t="s">
        <v>53</v>
      </c>
      <c r="Q136" s="6" t="s">
        <v>28</v>
      </c>
      <c r="R136" s="6" t="s">
        <v>41</v>
      </c>
    </row>
    <row r="137" spans="1:18" ht="22.5" customHeight="1" x14ac:dyDescent="0.35">
      <c r="A137" s="4">
        <v>4</v>
      </c>
      <c r="B137" s="6" t="s">
        <v>273</v>
      </c>
      <c r="C137" s="7">
        <v>43</v>
      </c>
      <c r="D137" s="6" t="s">
        <v>37</v>
      </c>
      <c r="E137" s="6" t="s">
        <v>19</v>
      </c>
      <c r="F137" s="8">
        <v>4</v>
      </c>
      <c r="G137" s="7">
        <v>4</v>
      </c>
      <c r="H137" s="7">
        <v>4</v>
      </c>
      <c r="I137" s="7">
        <v>5</v>
      </c>
      <c r="J137" s="7">
        <v>3</v>
      </c>
      <c r="K137" s="7">
        <v>5</v>
      </c>
      <c r="L137" s="7">
        <f>SUM(Data_Gabungan7[[#This Row],[Y1) Jika menerima undangan bergabung sebagai anggota HPFP, saya berniat menerimanya.]:[Y5) Saya berniat merekomendasikan keanggotaan HPFP kepada rekan sejawat saya.]])</f>
        <v>21</v>
      </c>
      <c r="M137" s="6" t="s">
        <v>20</v>
      </c>
      <c r="N137" s="6" t="s">
        <v>21</v>
      </c>
      <c r="O137" s="6" t="s">
        <v>274</v>
      </c>
      <c r="P137" s="6" t="s">
        <v>33</v>
      </c>
      <c r="Q137" s="6" t="s">
        <v>24</v>
      </c>
      <c r="R137" s="6" t="s">
        <v>25</v>
      </c>
    </row>
    <row r="138" spans="1:18" ht="22.5" customHeight="1" x14ac:dyDescent="0.35">
      <c r="A138" s="4">
        <v>4</v>
      </c>
      <c r="B138" s="6" t="s">
        <v>275</v>
      </c>
      <c r="C138" s="7">
        <v>46</v>
      </c>
      <c r="D138" s="6" t="s">
        <v>37</v>
      </c>
      <c r="E138" s="6" t="s">
        <v>38</v>
      </c>
      <c r="F138" s="8">
        <v>5</v>
      </c>
      <c r="G138" s="7">
        <v>4</v>
      </c>
      <c r="H138" s="7">
        <v>4</v>
      </c>
      <c r="I138" s="7">
        <v>3</v>
      </c>
      <c r="J138" s="7">
        <v>3</v>
      </c>
      <c r="K138" s="7">
        <v>4</v>
      </c>
      <c r="L138" s="7">
        <f>SUM(Data_Gabungan7[[#This Row],[Y1) Jika menerima undangan bergabung sebagai anggota HPFP, saya berniat menerimanya.]:[Y5) Saya berniat merekomendasikan keanggotaan HPFP kepada rekan sejawat saya.]])</f>
        <v>18</v>
      </c>
      <c r="M138" s="6" t="s">
        <v>20</v>
      </c>
      <c r="N138" s="6" t="s">
        <v>43</v>
      </c>
      <c r="O138" s="6" t="s">
        <v>77</v>
      </c>
      <c r="P138" s="6" t="s">
        <v>53</v>
      </c>
      <c r="Q138" s="6" t="s">
        <v>24</v>
      </c>
      <c r="R138" s="6" t="s">
        <v>41</v>
      </c>
    </row>
    <row r="139" spans="1:18" ht="22.5" customHeight="1" x14ac:dyDescent="0.35">
      <c r="A139" s="4">
        <v>4</v>
      </c>
      <c r="B139" s="6" t="s">
        <v>276</v>
      </c>
      <c r="C139" s="7">
        <v>35</v>
      </c>
      <c r="D139" s="6" t="s">
        <v>18</v>
      </c>
      <c r="E139" s="6" t="s">
        <v>38</v>
      </c>
      <c r="F139" s="8">
        <v>4</v>
      </c>
      <c r="G139" s="7">
        <v>5</v>
      </c>
      <c r="H139" s="7">
        <v>3</v>
      </c>
      <c r="I139" s="7">
        <v>4</v>
      </c>
      <c r="J139" s="7">
        <v>3</v>
      </c>
      <c r="K139" s="7">
        <v>5</v>
      </c>
      <c r="L139" s="7">
        <f>SUM(Data_Gabungan7[[#This Row],[Y1) Jika menerima undangan bergabung sebagai anggota HPFP, saya berniat menerimanya.]:[Y5) Saya berniat merekomendasikan keanggotaan HPFP kepada rekan sejawat saya.]])</f>
        <v>20</v>
      </c>
      <c r="M139" s="6" t="s">
        <v>20</v>
      </c>
      <c r="N139" s="6" t="s">
        <v>43</v>
      </c>
      <c r="O139" s="6" t="s">
        <v>277</v>
      </c>
      <c r="P139" s="6" t="s">
        <v>53</v>
      </c>
      <c r="Q139" s="6" t="s">
        <v>28</v>
      </c>
      <c r="R139" s="6" t="s">
        <v>41</v>
      </c>
    </row>
    <row r="140" spans="1:18" ht="22.5" customHeight="1" x14ac:dyDescent="0.35">
      <c r="A140" s="4">
        <v>4</v>
      </c>
      <c r="B140" s="6" t="s">
        <v>278</v>
      </c>
      <c r="C140" s="7">
        <v>46</v>
      </c>
      <c r="D140" s="6" t="s">
        <v>37</v>
      </c>
      <c r="E140" s="6" t="s">
        <v>38</v>
      </c>
      <c r="F140" s="8">
        <v>4</v>
      </c>
      <c r="G140" s="7">
        <v>5</v>
      </c>
      <c r="H140" s="7">
        <v>4</v>
      </c>
      <c r="I140" s="7">
        <v>5</v>
      </c>
      <c r="J140" s="7">
        <v>2</v>
      </c>
      <c r="K140" s="7">
        <v>4</v>
      </c>
      <c r="L140" s="7">
        <f>SUM(Data_Gabungan7[[#This Row],[Y1) Jika menerima undangan bergabung sebagai anggota HPFP, saya berniat menerimanya.]:[Y5) Saya berniat merekomendasikan keanggotaan HPFP kepada rekan sejawat saya.]])</f>
        <v>20</v>
      </c>
      <c r="M140" s="6" t="s">
        <v>20</v>
      </c>
      <c r="N140" s="6" t="s">
        <v>21</v>
      </c>
      <c r="O140" s="6" t="s">
        <v>279</v>
      </c>
      <c r="P140" s="6" t="s">
        <v>33</v>
      </c>
      <c r="Q140" s="6" t="s">
        <v>24</v>
      </c>
      <c r="R140" s="6" t="s">
        <v>25</v>
      </c>
    </row>
    <row r="141" spans="1:18" ht="22.5" customHeight="1" x14ac:dyDescent="0.35">
      <c r="A141" s="4">
        <v>4</v>
      </c>
      <c r="B141" s="6" t="s">
        <v>280</v>
      </c>
      <c r="C141" s="7">
        <v>31</v>
      </c>
      <c r="D141" s="6" t="s">
        <v>18</v>
      </c>
      <c r="E141" s="6" t="s">
        <v>38</v>
      </c>
      <c r="F141" s="8">
        <v>5</v>
      </c>
      <c r="G141" s="7">
        <v>5</v>
      </c>
      <c r="H141" s="7">
        <v>5</v>
      </c>
      <c r="I141" s="7">
        <v>5</v>
      </c>
      <c r="J141" s="7">
        <v>2</v>
      </c>
      <c r="K141" s="7">
        <v>5</v>
      </c>
      <c r="L141" s="7">
        <f>SUM(Data_Gabungan7[[#This Row],[Y1) Jika menerima undangan bergabung sebagai anggota HPFP, saya berniat menerimanya.]:[Y5) Saya berniat merekomendasikan keanggotaan HPFP kepada rekan sejawat saya.]])</f>
        <v>22</v>
      </c>
      <c r="M141" s="6" t="s">
        <v>51</v>
      </c>
      <c r="N141" s="6" t="s">
        <v>43</v>
      </c>
      <c r="O141" s="6" t="s">
        <v>83</v>
      </c>
      <c r="P141" s="6" t="s">
        <v>53</v>
      </c>
      <c r="Q141" s="6" t="s">
        <v>24</v>
      </c>
      <c r="R141" s="6" t="s">
        <v>41</v>
      </c>
    </row>
    <row r="142" spans="1:18" ht="22.5" customHeight="1" x14ac:dyDescent="0.35">
      <c r="A142" s="4">
        <v>4</v>
      </c>
      <c r="B142" s="6" t="s">
        <v>281</v>
      </c>
      <c r="C142" s="7">
        <v>45</v>
      </c>
      <c r="D142" s="6" t="s">
        <v>18</v>
      </c>
      <c r="E142" s="6" t="s">
        <v>38</v>
      </c>
      <c r="F142" s="8">
        <v>5</v>
      </c>
      <c r="G142" s="7">
        <v>4</v>
      </c>
      <c r="H142" s="7">
        <v>5</v>
      </c>
      <c r="I142" s="7">
        <v>5</v>
      </c>
      <c r="J142" s="7">
        <v>2</v>
      </c>
      <c r="K142" s="7">
        <v>5</v>
      </c>
      <c r="L142" s="7">
        <f>SUM(Data_Gabungan7[[#This Row],[Y1) Jika menerima undangan bergabung sebagai anggota HPFP, saya berniat menerimanya.]:[Y5) Saya berniat merekomendasikan keanggotaan HPFP kepada rekan sejawat saya.]])</f>
        <v>21</v>
      </c>
      <c r="M142" s="6" t="s">
        <v>20</v>
      </c>
      <c r="N142" s="6" t="s">
        <v>21</v>
      </c>
      <c r="O142" s="6" t="s">
        <v>282</v>
      </c>
      <c r="P142" s="6" t="s">
        <v>23</v>
      </c>
      <c r="Q142" s="6" t="s">
        <v>28</v>
      </c>
      <c r="R142" s="6" t="s">
        <v>25</v>
      </c>
    </row>
    <row r="143" spans="1:18" ht="22.5" customHeight="1" x14ac:dyDescent="0.35">
      <c r="A143" s="4">
        <v>4</v>
      </c>
      <c r="B143" s="6" t="s">
        <v>283</v>
      </c>
      <c r="C143" s="7">
        <v>37</v>
      </c>
      <c r="D143" s="6" t="s">
        <v>37</v>
      </c>
      <c r="E143" s="6" t="s">
        <v>38</v>
      </c>
      <c r="F143" s="8">
        <v>5</v>
      </c>
      <c r="G143" s="7">
        <v>5</v>
      </c>
      <c r="H143" s="7">
        <v>4</v>
      </c>
      <c r="I143" s="7">
        <v>4</v>
      </c>
      <c r="J143" s="7">
        <v>2</v>
      </c>
      <c r="K143" s="7">
        <v>3</v>
      </c>
      <c r="L143" s="7">
        <f>SUM(Data_Gabungan7[[#This Row],[Y1) Jika menerima undangan bergabung sebagai anggota HPFP, saya berniat menerimanya.]:[Y5) Saya berniat merekomendasikan keanggotaan HPFP kepada rekan sejawat saya.]])</f>
        <v>18</v>
      </c>
      <c r="M143" s="6" t="s">
        <v>20</v>
      </c>
      <c r="N143" s="6" t="s">
        <v>21</v>
      </c>
      <c r="O143" s="6" t="s">
        <v>284</v>
      </c>
      <c r="P143" s="6" t="s">
        <v>23</v>
      </c>
      <c r="Q143" s="6" t="s">
        <v>24</v>
      </c>
      <c r="R143" s="6" t="s">
        <v>25</v>
      </c>
    </row>
    <row r="144" spans="1:18" ht="22.5" customHeight="1" x14ac:dyDescent="0.35">
      <c r="A144" s="4">
        <v>4</v>
      </c>
      <c r="B144" s="6" t="s">
        <v>285</v>
      </c>
      <c r="C144" s="7">
        <v>29</v>
      </c>
      <c r="D144" s="6" t="s">
        <v>18</v>
      </c>
      <c r="E144" s="6" t="s">
        <v>38</v>
      </c>
      <c r="F144" s="8">
        <v>5</v>
      </c>
      <c r="G144" s="7">
        <v>5</v>
      </c>
      <c r="H144" s="7">
        <v>4</v>
      </c>
      <c r="I144" s="7">
        <v>5</v>
      </c>
      <c r="J144" s="7">
        <v>2</v>
      </c>
      <c r="K144" s="7">
        <v>5</v>
      </c>
      <c r="L144" s="7">
        <f>SUM(Data_Gabungan7[[#This Row],[Y1) Jika menerima undangan bergabung sebagai anggota HPFP, saya berniat menerimanya.]:[Y5) Saya berniat merekomendasikan keanggotaan HPFP kepada rekan sejawat saya.]])</f>
        <v>21</v>
      </c>
      <c r="M144" s="6" t="s">
        <v>20</v>
      </c>
      <c r="N144" s="6" t="s">
        <v>21</v>
      </c>
      <c r="O144" s="6" t="s">
        <v>286</v>
      </c>
      <c r="P144" s="6" t="s">
        <v>40</v>
      </c>
      <c r="Q144" s="6" t="s">
        <v>24</v>
      </c>
      <c r="R144" s="6" t="s">
        <v>41</v>
      </c>
    </row>
    <row r="145" spans="1:18" ht="22.5" customHeight="1" x14ac:dyDescent="0.35">
      <c r="A145" s="4">
        <v>4</v>
      </c>
      <c r="B145" s="6" t="s">
        <v>287</v>
      </c>
      <c r="C145" s="7">
        <v>31</v>
      </c>
      <c r="D145" s="6" t="s">
        <v>37</v>
      </c>
      <c r="E145" s="6" t="s">
        <v>19</v>
      </c>
      <c r="F145" s="8">
        <v>5</v>
      </c>
      <c r="G145" s="7">
        <v>5</v>
      </c>
      <c r="H145" s="7">
        <v>5</v>
      </c>
      <c r="I145" s="7">
        <v>4</v>
      </c>
      <c r="J145" s="7">
        <v>2</v>
      </c>
      <c r="K145" s="7">
        <v>4</v>
      </c>
      <c r="L145" s="7">
        <f>SUM(Data_Gabungan7[[#This Row],[Y1) Jika menerima undangan bergabung sebagai anggota HPFP, saya berniat menerimanya.]:[Y5) Saya berniat merekomendasikan keanggotaan HPFP kepada rekan sejawat saya.]])</f>
        <v>20</v>
      </c>
      <c r="M145" s="6" t="s">
        <v>20</v>
      </c>
      <c r="N145" s="6" t="s">
        <v>43</v>
      </c>
      <c r="O145" s="6" t="s">
        <v>83</v>
      </c>
      <c r="P145" s="6" t="s">
        <v>40</v>
      </c>
      <c r="Q145" s="6" t="s">
        <v>28</v>
      </c>
      <c r="R145" s="6" t="s">
        <v>41</v>
      </c>
    </row>
    <row r="146" spans="1:18" ht="22.5" customHeight="1" x14ac:dyDescent="0.35">
      <c r="A146" s="4">
        <v>4</v>
      </c>
      <c r="B146" s="6" t="s">
        <v>288</v>
      </c>
      <c r="C146" s="7">
        <v>29</v>
      </c>
      <c r="D146" s="6" t="s">
        <v>37</v>
      </c>
      <c r="E146" s="6" t="s">
        <v>38</v>
      </c>
      <c r="F146" s="8">
        <v>5</v>
      </c>
      <c r="G146" s="7">
        <v>4</v>
      </c>
      <c r="H146" s="7">
        <v>4</v>
      </c>
      <c r="I146" s="7">
        <v>4</v>
      </c>
      <c r="J146" s="7">
        <v>3</v>
      </c>
      <c r="K146" s="7">
        <v>4</v>
      </c>
      <c r="L146" s="7">
        <f>SUM(Data_Gabungan7[[#This Row],[Y1) Jika menerima undangan bergabung sebagai anggota HPFP, saya berniat menerimanya.]:[Y5) Saya berniat merekomendasikan keanggotaan HPFP kepada rekan sejawat saya.]])</f>
        <v>19</v>
      </c>
      <c r="M146" s="6" t="s">
        <v>20</v>
      </c>
      <c r="N146" s="6" t="s">
        <v>21</v>
      </c>
      <c r="O146" s="6" t="s">
        <v>289</v>
      </c>
      <c r="P146" s="6" t="s">
        <v>53</v>
      </c>
      <c r="Q146" s="6" t="s">
        <v>28</v>
      </c>
      <c r="R146" s="6" t="s">
        <v>41</v>
      </c>
    </row>
    <row r="147" spans="1:18" ht="22.5" customHeight="1" x14ac:dyDescent="0.35">
      <c r="A147" s="4">
        <v>4</v>
      </c>
      <c r="B147" s="6" t="s">
        <v>290</v>
      </c>
      <c r="C147" s="7">
        <v>27</v>
      </c>
      <c r="D147" s="6" t="s">
        <v>18</v>
      </c>
      <c r="E147" s="6" t="s">
        <v>198</v>
      </c>
      <c r="F147" s="8">
        <v>4</v>
      </c>
      <c r="G147" s="7">
        <v>4</v>
      </c>
      <c r="H147" s="7">
        <v>4</v>
      </c>
      <c r="I147" s="7">
        <v>4</v>
      </c>
      <c r="J147" s="7">
        <v>1</v>
      </c>
      <c r="K147" s="7">
        <v>3</v>
      </c>
      <c r="L147" s="7">
        <f>SUM(Data_Gabungan7[[#This Row],[Y1) Jika menerima undangan bergabung sebagai anggota HPFP, saya berniat menerimanya.]:[Y5) Saya berniat merekomendasikan keanggotaan HPFP kepada rekan sejawat saya.]])</f>
        <v>16</v>
      </c>
      <c r="M147" s="6" t="s">
        <v>20</v>
      </c>
      <c r="N147" s="6" t="s">
        <v>43</v>
      </c>
      <c r="O147" s="6" t="s">
        <v>291</v>
      </c>
      <c r="P147" s="6" t="s">
        <v>40</v>
      </c>
      <c r="Q147" s="6" t="s">
        <v>124</v>
      </c>
      <c r="R147" s="6" t="s">
        <v>125</v>
      </c>
    </row>
    <row r="148" spans="1:18" ht="22.5" customHeight="1" x14ac:dyDescent="0.35">
      <c r="A148" s="4">
        <v>4</v>
      </c>
      <c r="B148" s="6" t="s">
        <v>292</v>
      </c>
      <c r="C148" s="7">
        <v>37</v>
      </c>
      <c r="D148" s="6" t="s">
        <v>37</v>
      </c>
      <c r="E148" s="6" t="s">
        <v>38</v>
      </c>
      <c r="F148" s="8">
        <v>5</v>
      </c>
      <c r="G148" s="7">
        <v>4</v>
      </c>
      <c r="H148" s="7">
        <v>3</v>
      </c>
      <c r="I148" s="7">
        <v>3</v>
      </c>
      <c r="J148" s="7">
        <v>3</v>
      </c>
      <c r="K148" s="7">
        <v>4</v>
      </c>
      <c r="L148" s="7">
        <f>SUM(Data_Gabungan7[[#This Row],[Y1) Jika menerima undangan bergabung sebagai anggota HPFP, saya berniat menerimanya.]:[Y5) Saya berniat merekomendasikan keanggotaan HPFP kepada rekan sejawat saya.]])</f>
        <v>17</v>
      </c>
      <c r="M148" s="6" t="s">
        <v>20</v>
      </c>
      <c r="N148" s="6" t="s">
        <v>21</v>
      </c>
      <c r="O148" s="6" t="s">
        <v>101</v>
      </c>
      <c r="P148" s="6" t="s">
        <v>40</v>
      </c>
      <c r="Q148" s="6" t="s">
        <v>24</v>
      </c>
      <c r="R148" s="6" t="s">
        <v>41</v>
      </c>
    </row>
    <row r="149" spans="1:18" ht="22.5" customHeight="1" x14ac:dyDescent="0.35">
      <c r="A149" s="4">
        <v>4</v>
      </c>
      <c r="B149" s="6" t="s">
        <v>293</v>
      </c>
      <c r="C149" s="7">
        <v>39</v>
      </c>
      <c r="D149" s="6" t="s">
        <v>18</v>
      </c>
      <c r="E149" s="6" t="s">
        <v>38</v>
      </c>
      <c r="F149" s="8">
        <v>4</v>
      </c>
      <c r="G149" s="7">
        <v>3</v>
      </c>
      <c r="H149" s="7">
        <v>3</v>
      </c>
      <c r="I149" s="7">
        <v>4</v>
      </c>
      <c r="J149" s="7">
        <v>3</v>
      </c>
      <c r="K149" s="7">
        <v>3</v>
      </c>
      <c r="L149" s="7">
        <f>SUM(Data_Gabungan7[[#This Row],[Y1) Jika menerima undangan bergabung sebagai anggota HPFP, saya berniat menerimanya.]:[Y5) Saya berniat merekomendasikan keanggotaan HPFP kepada rekan sejawat saya.]])</f>
        <v>16</v>
      </c>
      <c r="M149" s="6" t="s">
        <v>20</v>
      </c>
      <c r="N149" s="6" t="s">
        <v>21</v>
      </c>
      <c r="O149" s="6" t="s">
        <v>289</v>
      </c>
      <c r="P149" s="6" t="s">
        <v>40</v>
      </c>
      <c r="Q149" s="6" t="s">
        <v>28</v>
      </c>
      <c r="R149" s="6" t="s">
        <v>41</v>
      </c>
    </row>
    <row r="150" spans="1:18" ht="22.5" customHeight="1" x14ac:dyDescent="0.35">
      <c r="A150" s="4">
        <v>4</v>
      </c>
      <c r="B150" s="6" t="s">
        <v>294</v>
      </c>
      <c r="C150" s="7">
        <v>39</v>
      </c>
      <c r="D150" s="6" t="s">
        <v>37</v>
      </c>
      <c r="E150" s="6" t="s">
        <v>38</v>
      </c>
      <c r="F150" s="8">
        <v>5</v>
      </c>
      <c r="G150" s="7">
        <v>3</v>
      </c>
      <c r="H150" s="7">
        <v>4</v>
      </c>
      <c r="I150" s="7">
        <v>3</v>
      </c>
      <c r="J150" s="7">
        <v>3</v>
      </c>
      <c r="K150" s="7">
        <v>4</v>
      </c>
      <c r="L150" s="7">
        <f>SUM(Data_Gabungan7[[#This Row],[Y1) Jika menerima undangan bergabung sebagai anggota HPFP, saya berniat menerimanya.]:[Y5) Saya berniat merekomendasikan keanggotaan HPFP kepada rekan sejawat saya.]])</f>
        <v>17</v>
      </c>
      <c r="M150" s="6" t="s">
        <v>20</v>
      </c>
      <c r="N150" s="6" t="s">
        <v>21</v>
      </c>
      <c r="O150" s="6" t="s">
        <v>101</v>
      </c>
      <c r="P150" s="6" t="s">
        <v>23</v>
      </c>
      <c r="Q150" s="6" t="s">
        <v>24</v>
      </c>
      <c r="R150" s="6" t="s">
        <v>25</v>
      </c>
    </row>
    <row r="151" spans="1:18" ht="22.5" customHeight="1" x14ac:dyDescent="0.35">
      <c r="A151" s="4">
        <v>4</v>
      </c>
      <c r="B151" s="6" t="s">
        <v>295</v>
      </c>
      <c r="C151" s="7">
        <v>31</v>
      </c>
      <c r="D151" s="6" t="s">
        <v>37</v>
      </c>
      <c r="E151" s="6" t="s">
        <v>38</v>
      </c>
      <c r="F151" s="8">
        <v>5</v>
      </c>
      <c r="G151" s="7">
        <v>5</v>
      </c>
      <c r="H151" s="7">
        <v>4</v>
      </c>
      <c r="I151" s="7">
        <v>3</v>
      </c>
      <c r="J151" s="7">
        <v>3</v>
      </c>
      <c r="K151" s="7">
        <v>4</v>
      </c>
      <c r="L151" s="7">
        <f>SUM(Data_Gabungan7[[#This Row],[Y1) Jika menerima undangan bergabung sebagai anggota HPFP, saya berniat menerimanya.]:[Y5) Saya berniat merekomendasikan keanggotaan HPFP kepada rekan sejawat saya.]])</f>
        <v>19</v>
      </c>
      <c r="M151" s="6" t="s">
        <v>20</v>
      </c>
      <c r="N151" s="6" t="s">
        <v>43</v>
      </c>
      <c r="O151" s="6" t="s">
        <v>67</v>
      </c>
      <c r="P151" s="6" t="s">
        <v>40</v>
      </c>
      <c r="Q151" s="6" t="s">
        <v>24</v>
      </c>
      <c r="R151" s="6" t="s">
        <v>25</v>
      </c>
    </row>
    <row r="152" spans="1:18" ht="22.5" customHeight="1" x14ac:dyDescent="0.35">
      <c r="A152" s="4">
        <v>4</v>
      </c>
      <c r="B152" s="6" t="s">
        <v>296</v>
      </c>
      <c r="C152" s="7">
        <v>34</v>
      </c>
      <c r="D152" s="6" t="s">
        <v>18</v>
      </c>
      <c r="E152" s="6" t="s">
        <v>38</v>
      </c>
      <c r="F152" s="8">
        <v>4</v>
      </c>
      <c r="G152" s="7">
        <v>3</v>
      </c>
      <c r="H152" s="7">
        <v>4</v>
      </c>
      <c r="I152" s="7">
        <v>3</v>
      </c>
      <c r="J152" s="7">
        <v>2</v>
      </c>
      <c r="K152" s="7">
        <v>3</v>
      </c>
      <c r="L152" s="7">
        <f>SUM(Data_Gabungan7[[#This Row],[Y1) Jika menerima undangan bergabung sebagai anggota HPFP, saya berniat menerimanya.]:[Y5) Saya berniat merekomendasikan keanggotaan HPFP kepada rekan sejawat saya.]])</f>
        <v>15</v>
      </c>
      <c r="M152" s="6" t="s">
        <v>51</v>
      </c>
      <c r="N152" s="6" t="s">
        <v>43</v>
      </c>
      <c r="O152" s="6" t="s">
        <v>77</v>
      </c>
      <c r="P152" s="6" t="s">
        <v>53</v>
      </c>
      <c r="Q152" s="6" t="s">
        <v>28</v>
      </c>
      <c r="R152" s="6" t="s">
        <v>41</v>
      </c>
    </row>
    <row r="153" spans="1:18" ht="22.5" customHeight="1" x14ac:dyDescent="0.35">
      <c r="A153" s="4">
        <v>4</v>
      </c>
      <c r="B153" s="6" t="s">
        <v>297</v>
      </c>
      <c r="C153" s="7">
        <v>33</v>
      </c>
      <c r="D153" s="6" t="s">
        <v>18</v>
      </c>
      <c r="E153" s="6" t="s">
        <v>38</v>
      </c>
      <c r="F153" s="8">
        <v>5</v>
      </c>
      <c r="G153" s="7">
        <v>3</v>
      </c>
      <c r="H153" s="7">
        <v>4</v>
      </c>
      <c r="I153" s="7">
        <v>4</v>
      </c>
      <c r="J153" s="7">
        <v>2</v>
      </c>
      <c r="K153" s="7">
        <v>3</v>
      </c>
      <c r="L153" s="7">
        <f>SUM(Data_Gabungan7[[#This Row],[Y1) Jika menerima undangan bergabung sebagai anggota HPFP, saya berniat menerimanya.]:[Y5) Saya berniat merekomendasikan keanggotaan HPFP kepada rekan sejawat saya.]])</f>
        <v>16</v>
      </c>
      <c r="M153" s="6" t="s">
        <v>51</v>
      </c>
      <c r="N153" s="6" t="s">
        <v>43</v>
      </c>
      <c r="O153" s="6" t="s">
        <v>67</v>
      </c>
      <c r="P153" s="6" t="s">
        <v>53</v>
      </c>
      <c r="Q153" s="6" t="s">
        <v>28</v>
      </c>
      <c r="R153" s="6" t="s">
        <v>25</v>
      </c>
    </row>
    <row r="154" spans="1:18" ht="22.5" customHeight="1" x14ac:dyDescent="0.35">
      <c r="A154" s="4">
        <v>4</v>
      </c>
      <c r="B154" s="6" t="s">
        <v>298</v>
      </c>
      <c r="C154" s="7">
        <v>37</v>
      </c>
      <c r="D154" s="6" t="s">
        <v>37</v>
      </c>
      <c r="E154" s="6" t="s">
        <v>38</v>
      </c>
      <c r="F154" s="8">
        <v>5</v>
      </c>
      <c r="G154" s="7">
        <v>4</v>
      </c>
      <c r="H154" s="7">
        <v>4</v>
      </c>
      <c r="I154" s="7">
        <v>3</v>
      </c>
      <c r="J154" s="7">
        <v>2</v>
      </c>
      <c r="K154" s="7">
        <v>3</v>
      </c>
      <c r="L154" s="7">
        <f>SUM(Data_Gabungan7[[#This Row],[Y1) Jika menerima undangan bergabung sebagai anggota HPFP, saya berniat menerimanya.]:[Y5) Saya berniat merekomendasikan keanggotaan HPFP kepada rekan sejawat saya.]])</f>
        <v>16</v>
      </c>
      <c r="M154" s="6" t="s">
        <v>20</v>
      </c>
      <c r="N154" s="6" t="s">
        <v>43</v>
      </c>
      <c r="O154" s="6" t="s">
        <v>291</v>
      </c>
      <c r="P154" s="6" t="s">
        <v>40</v>
      </c>
      <c r="Q154" s="6" t="s">
        <v>24</v>
      </c>
      <c r="R154" s="6" t="s">
        <v>41</v>
      </c>
    </row>
    <row r="155" spans="1:18" ht="22.5" customHeight="1" x14ac:dyDescent="0.35">
      <c r="A155" s="4">
        <v>4</v>
      </c>
      <c r="B155" s="6" t="s">
        <v>299</v>
      </c>
      <c r="C155" s="7">
        <v>47</v>
      </c>
      <c r="D155" s="6" t="s">
        <v>18</v>
      </c>
      <c r="E155" s="6" t="s">
        <v>19</v>
      </c>
      <c r="F155" s="8">
        <v>4</v>
      </c>
      <c r="G155" s="7">
        <v>4</v>
      </c>
      <c r="H155" s="7">
        <v>3</v>
      </c>
      <c r="I155" s="7">
        <v>3</v>
      </c>
      <c r="J155" s="7">
        <v>2</v>
      </c>
      <c r="K155" s="7">
        <v>4</v>
      </c>
      <c r="L155" s="7">
        <f>SUM(Data_Gabungan7[[#This Row],[Y1) Jika menerima undangan bergabung sebagai anggota HPFP, saya berniat menerimanya.]:[Y5) Saya berniat merekomendasikan keanggotaan HPFP kepada rekan sejawat saya.]])</f>
        <v>16</v>
      </c>
      <c r="M155" s="6" t="s">
        <v>20</v>
      </c>
      <c r="N155" s="6" t="s">
        <v>21</v>
      </c>
      <c r="O155" s="6" t="s">
        <v>182</v>
      </c>
      <c r="P155" s="6" t="s">
        <v>33</v>
      </c>
      <c r="Q155" s="6" t="s">
        <v>28</v>
      </c>
      <c r="R155" s="6" t="s">
        <v>25</v>
      </c>
    </row>
    <row r="156" spans="1:18" ht="22.5" customHeight="1" x14ac:dyDescent="0.35">
      <c r="A156" s="4">
        <v>4</v>
      </c>
      <c r="B156" s="6" t="s">
        <v>300</v>
      </c>
      <c r="C156" s="7">
        <v>33</v>
      </c>
      <c r="D156" s="6" t="s">
        <v>18</v>
      </c>
      <c r="E156" s="6" t="s">
        <v>38</v>
      </c>
      <c r="F156" s="8">
        <v>4</v>
      </c>
      <c r="G156" s="7">
        <v>3</v>
      </c>
      <c r="H156" s="7">
        <v>3</v>
      </c>
      <c r="I156" s="7">
        <v>4</v>
      </c>
      <c r="J156" s="7">
        <v>2</v>
      </c>
      <c r="K156" s="7">
        <v>4</v>
      </c>
      <c r="L156" s="7">
        <f>SUM(Data_Gabungan7[[#This Row],[Y1) Jika menerima undangan bergabung sebagai anggota HPFP, saya berniat menerimanya.]:[Y5) Saya berniat merekomendasikan keanggotaan HPFP kepada rekan sejawat saya.]])</f>
        <v>16</v>
      </c>
      <c r="M156" s="6" t="s">
        <v>20</v>
      </c>
      <c r="N156" s="6" t="s">
        <v>43</v>
      </c>
      <c r="O156" s="6" t="s">
        <v>67</v>
      </c>
      <c r="P156" s="6" t="s">
        <v>40</v>
      </c>
      <c r="Q156" s="6" t="s">
        <v>28</v>
      </c>
      <c r="R156" s="6" t="s">
        <v>41</v>
      </c>
    </row>
    <row r="157" spans="1:18" ht="22.5" customHeight="1" x14ac:dyDescent="0.35">
      <c r="A157" s="4">
        <v>4</v>
      </c>
      <c r="B157" s="6" t="s">
        <v>301</v>
      </c>
      <c r="C157" s="7">
        <v>29</v>
      </c>
      <c r="D157" s="6" t="s">
        <v>18</v>
      </c>
      <c r="E157" s="6" t="s">
        <v>38</v>
      </c>
      <c r="F157" s="8">
        <v>4</v>
      </c>
      <c r="G157" s="7">
        <v>4</v>
      </c>
      <c r="H157" s="7">
        <v>3</v>
      </c>
      <c r="I157" s="7">
        <v>4</v>
      </c>
      <c r="J157" s="7">
        <v>2</v>
      </c>
      <c r="K157" s="7">
        <v>3</v>
      </c>
      <c r="L157" s="7">
        <f>SUM(Data_Gabungan7[[#This Row],[Y1) Jika menerima undangan bergabung sebagai anggota HPFP, saya berniat menerimanya.]:[Y5) Saya berniat merekomendasikan keanggotaan HPFP kepada rekan sejawat saya.]])</f>
        <v>16</v>
      </c>
      <c r="M157" s="6" t="s">
        <v>20</v>
      </c>
      <c r="N157" s="6" t="s">
        <v>43</v>
      </c>
      <c r="O157" s="6" t="s">
        <v>87</v>
      </c>
      <c r="P157" s="6" t="s">
        <v>40</v>
      </c>
      <c r="Q157" s="6" t="s">
        <v>24</v>
      </c>
      <c r="R157" s="6" t="s">
        <v>41</v>
      </c>
    </row>
    <row r="158" spans="1:18" ht="22.5" customHeight="1" x14ac:dyDescent="0.35">
      <c r="A158" s="4">
        <v>4</v>
      </c>
      <c r="B158" s="6" t="s">
        <v>302</v>
      </c>
      <c r="C158" s="7">
        <v>38</v>
      </c>
      <c r="D158" s="6" t="s">
        <v>37</v>
      </c>
      <c r="E158" s="6" t="s">
        <v>38</v>
      </c>
      <c r="F158" s="8">
        <v>4</v>
      </c>
      <c r="G158" s="7">
        <v>3</v>
      </c>
      <c r="H158" s="7">
        <v>4</v>
      </c>
      <c r="I158" s="7">
        <v>3</v>
      </c>
      <c r="J158" s="7">
        <v>2</v>
      </c>
      <c r="K158" s="7">
        <v>3</v>
      </c>
      <c r="L158" s="7">
        <f>SUM(Data_Gabungan7[[#This Row],[Y1) Jika menerima undangan bergabung sebagai anggota HPFP, saya berniat menerimanya.]:[Y5) Saya berniat merekomendasikan keanggotaan HPFP kepada rekan sejawat saya.]])</f>
        <v>15</v>
      </c>
      <c r="M158" s="6" t="s">
        <v>20</v>
      </c>
      <c r="N158" s="6" t="s">
        <v>43</v>
      </c>
      <c r="O158" s="6" t="s">
        <v>83</v>
      </c>
      <c r="P158" s="6" t="s">
        <v>23</v>
      </c>
      <c r="Q158" s="6" t="s">
        <v>28</v>
      </c>
      <c r="R158" s="6" t="s">
        <v>41</v>
      </c>
    </row>
    <row r="159" spans="1:18" ht="22.5" customHeight="1" x14ac:dyDescent="0.35">
      <c r="A159" s="4">
        <v>4</v>
      </c>
      <c r="B159" s="6" t="s">
        <v>303</v>
      </c>
      <c r="C159" s="7">
        <v>45</v>
      </c>
      <c r="D159" s="6" t="s">
        <v>18</v>
      </c>
      <c r="E159" s="6" t="s">
        <v>19</v>
      </c>
      <c r="F159" s="8">
        <v>4</v>
      </c>
      <c r="G159" s="7">
        <v>4</v>
      </c>
      <c r="H159" s="7">
        <v>4</v>
      </c>
      <c r="I159" s="7">
        <v>3</v>
      </c>
      <c r="J159" s="7">
        <v>2</v>
      </c>
      <c r="K159" s="7">
        <v>4</v>
      </c>
      <c r="L159" s="7">
        <f>SUM(Data_Gabungan7[[#This Row],[Y1) Jika menerima undangan bergabung sebagai anggota HPFP, saya berniat menerimanya.]:[Y5) Saya berniat merekomendasikan keanggotaan HPFP kepada rekan sejawat saya.]])</f>
        <v>17</v>
      </c>
      <c r="M159" s="6" t="s">
        <v>20</v>
      </c>
      <c r="N159" s="6" t="s">
        <v>21</v>
      </c>
      <c r="O159" s="6" t="s">
        <v>304</v>
      </c>
      <c r="P159" s="6" t="s">
        <v>23</v>
      </c>
      <c r="Q159" s="6" t="s">
        <v>24</v>
      </c>
      <c r="R159" s="6" t="s">
        <v>25</v>
      </c>
    </row>
    <row r="160" spans="1:18" ht="22.5" customHeight="1" x14ac:dyDescent="0.35">
      <c r="A160" s="4">
        <v>4</v>
      </c>
      <c r="B160" s="6" t="s">
        <v>305</v>
      </c>
      <c r="C160" s="7">
        <v>30</v>
      </c>
      <c r="D160" s="6" t="s">
        <v>37</v>
      </c>
      <c r="E160" s="6" t="s">
        <v>38</v>
      </c>
      <c r="F160" s="8">
        <v>4</v>
      </c>
      <c r="G160" s="7">
        <v>3</v>
      </c>
      <c r="H160" s="7">
        <v>4</v>
      </c>
      <c r="I160" s="7">
        <v>4</v>
      </c>
      <c r="J160" s="7">
        <v>2</v>
      </c>
      <c r="K160" s="7">
        <v>4</v>
      </c>
      <c r="L160" s="7">
        <f>SUM(Data_Gabungan7[[#This Row],[Y1) Jika menerima undangan bergabung sebagai anggota HPFP, saya berniat menerimanya.]:[Y5) Saya berniat merekomendasikan keanggotaan HPFP kepada rekan sejawat saya.]])</f>
        <v>17</v>
      </c>
      <c r="M160" s="6" t="s">
        <v>20</v>
      </c>
      <c r="N160" s="6" t="s">
        <v>43</v>
      </c>
      <c r="O160" s="6" t="s">
        <v>306</v>
      </c>
      <c r="P160" s="6" t="s">
        <v>40</v>
      </c>
      <c r="Q160" s="6" t="s">
        <v>28</v>
      </c>
      <c r="R160" s="6" t="s">
        <v>41</v>
      </c>
    </row>
    <row r="161" spans="1:18" ht="22.5" customHeight="1" x14ac:dyDescent="0.35">
      <c r="A161" s="4">
        <v>4</v>
      </c>
      <c r="B161" s="6" t="s">
        <v>307</v>
      </c>
      <c r="C161" s="7">
        <v>33</v>
      </c>
      <c r="D161" s="6" t="s">
        <v>18</v>
      </c>
      <c r="E161" s="6" t="s">
        <v>38</v>
      </c>
      <c r="F161" s="8">
        <v>5</v>
      </c>
      <c r="G161" s="7">
        <v>4</v>
      </c>
      <c r="H161" s="7">
        <v>4</v>
      </c>
      <c r="I161" s="7">
        <v>4</v>
      </c>
      <c r="J161" s="7">
        <v>3</v>
      </c>
      <c r="K161" s="7">
        <v>4</v>
      </c>
      <c r="L161" s="7">
        <f>SUM(Data_Gabungan7[[#This Row],[Y1) Jika menerima undangan bergabung sebagai anggota HPFP, saya berniat menerimanya.]:[Y5) Saya berniat merekomendasikan keanggotaan HPFP kepada rekan sejawat saya.]])</f>
        <v>19</v>
      </c>
      <c r="M161" s="6" t="s">
        <v>20</v>
      </c>
      <c r="N161" s="6" t="s">
        <v>43</v>
      </c>
      <c r="O161" s="6" t="s">
        <v>77</v>
      </c>
      <c r="P161" s="6" t="s">
        <v>40</v>
      </c>
      <c r="Q161" s="6" t="s">
        <v>24</v>
      </c>
      <c r="R161" s="6" t="s">
        <v>41</v>
      </c>
    </row>
    <row r="162" spans="1:18" ht="22.5" customHeight="1" x14ac:dyDescent="0.35">
      <c r="A162" s="4">
        <v>4</v>
      </c>
      <c r="B162" s="6" t="s">
        <v>308</v>
      </c>
      <c r="C162" s="7">
        <v>32</v>
      </c>
      <c r="D162" s="6" t="s">
        <v>37</v>
      </c>
      <c r="E162" s="6" t="s">
        <v>38</v>
      </c>
      <c r="F162" s="8">
        <v>4</v>
      </c>
      <c r="G162" s="7">
        <v>4</v>
      </c>
      <c r="H162" s="7">
        <v>5</v>
      </c>
      <c r="I162" s="7">
        <v>4</v>
      </c>
      <c r="J162" s="7">
        <v>2</v>
      </c>
      <c r="K162" s="7">
        <v>5</v>
      </c>
      <c r="L162" s="7">
        <f>SUM(Data_Gabungan7[[#This Row],[Y1) Jika menerima undangan bergabung sebagai anggota HPFP, saya berniat menerimanya.]:[Y5) Saya berniat merekomendasikan keanggotaan HPFP kepada rekan sejawat saya.]])</f>
        <v>20</v>
      </c>
      <c r="M162" s="6" t="s">
        <v>51</v>
      </c>
      <c r="N162" s="6" t="s">
        <v>43</v>
      </c>
      <c r="O162" s="6" t="s">
        <v>71</v>
      </c>
      <c r="P162" s="6" t="s">
        <v>53</v>
      </c>
      <c r="Q162" s="6" t="s">
        <v>24</v>
      </c>
      <c r="R162" s="6" t="s">
        <v>41</v>
      </c>
    </row>
    <row r="163" spans="1:18" ht="22.5" customHeight="1" x14ac:dyDescent="0.35">
      <c r="A163" s="4">
        <v>4</v>
      </c>
      <c r="B163" s="6" t="s">
        <v>309</v>
      </c>
      <c r="C163" s="7">
        <v>36</v>
      </c>
      <c r="D163" s="6" t="s">
        <v>18</v>
      </c>
      <c r="E163" s="6" t="s">
        <v>38</v>
      </c>
      <c r="F163" s="8">
        <v>5</v>
      </c>
      <c r="G163" s="7">
        <v>4</v>
      </c>
      <c r="H163" s="7">
        <v>3</v>
      </c>
      <c r="I163" s="7">
        <v>3</v>
      </c>
      <c r="J163" s="7">
        <v>2</v>
      </c>
      <c r="K163" s="7">
        <v>4</v>
      </c>
      <c r="L163" s="7">
        <f>SUM(Data_Gabungan7[[#This Row],[Y1) Jika menerima undangan bergabung sebagai anggota HPFP, saya berniat menerimanya.]:[Y5) Saya berniat merekomendasikan keanggotaan HPFP kepada rekan sejawat saya.]])</f>
        <v>16</v>
      </c>
      <c r="M163" s="6" t="s">
        <v>20</v>
      </c>
      <c r="N163" s="6" t="s">
        <v>43</v>
      </c>
      <c r="O163" s="6" t="s">
        <v>71</v>
      </c>
      <c r="P163" s="6" t="s">
        <v>40</v>
      </c>
      <c r="Q163" s="6" t="s">
        <v>28</v>
      </c>
      <c r="R163" s="6" t="s">
        <v>41</v>
      </c>
    </row>
    <row r="164" spans="1:18" ht="22.5" customHeight="1" x14ac:dyDescent="0.35">
      <c r="A164" s="4">
        <v>4</v>
      </c>
      <c r="B164" s="6" t="s">
        <v>310</v>
      </c>
      <c r="C164" s="7">
        <v>39</v>
      </c>
      <c r="D164" s="6" t="s">
        <v>37</v>
      </c>
      <c r="E164" s="6" t="s">
        <v>38</v>
      </c>
      <c r="F164" s="8">
        <v>5</v>
      </c>
      <c r="G164" s="7">
        <v>4</v>
      </c>
      <c r="H164" s="7">
        <v>3</v>
      </c>
      <c r="I164" s="7">
        <v>3</v>
      </c>
      <c r="J164" s="7">
        <v>2</v>
      </c>
      <c r="K164" s="7">
        <v>4</v>
      </c>
      <c r="L164" s="7">
        <f>SUM(Data_Gabungan7[[#This Row],[Y1) Jika menerima undangan bergabung sebagai anggota HPFP, saya berniat menerimanya.]:[Y5) Saya berniat merekomendasikan keanggotaan HPFP kepada rekan sejawat saya.]])</f>
        <v>16</v>
      </c>
      <c r="M164" s="6" t="s">
        <v>20</v>
      </c>
      <c r="N164" s="6" t="s">
        <v>43</v>
      </c>
      <c r="O164" s="6" t="s">
        <v>311</v>
      </c>
      <c r="P164" s="6" t="s">
        <v>23</v>
      </c>
      <c r="Q164" s="6" t="s">
        <v>28</v>
      </c>
      <c r="R164" s="6" t="s">
        <v>25</v>
      </c>
    </row>
    <row r="165" spans="1:18" ht="22.5" customHeight="1" x14ac:dyDescent="0.35">
      <c r="A165" s="4">
        <v>4</v>
      </c>
      <c r="B165" s="6" t="s">
        <v>312</v>
      </c>
      <c r="C165" s="7">
        <v>31</v>
      </c>
      <c r="D165" s="6" t="s">
        <v>18</v>
      </c>
      <c r="E165" s="6" t="s">
        <v>198</v>
      </c>
      <c r="F165" s="8">
        <v>5</v>
      </c>
      <c r="G165" s="7">
        <v>3</v>
      </c>
      <c r="H165" s="7">
        <v>4</v>
      </c>
      <c r="I165" s="7">
        <v>4</v>
      </c>
      <c r="J165" s="7">
        <v>2</v>
      </c>
      <c r="K165" s="7">
        <v>4</v>
      </c>
      <c r="L165" s="7">
        <f>SUM(Data_Gabungan7[[#This Row],[Y1) Jika menerima undangan bergabung sebagai anggota HPFP, saya berniat menerimanya.]:[Y5) Saya berniat merekomendasikan keanggotaan HPFP kepada rekan sejawat saya.]])</f>
        <v>17</v>
      </c>
      <c r="M165" s="6" t="s">
        <v>20</v>
      </c>
      <c r="N165" s="6" t="s">
        <v>43</v>
      </c>
      <c r="O165" s="6" t="s">
        <v>77</v>
      </c>
      <c r="P165" s="6" t="s">
        <v>53</v>
      </c>
      <c r="Q165" s="6" t="s">
        <v>270</v>
      </c>
      <c r="R165" s="6" t="s">
        <v>125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74"/>
  <sheetViews>
    <sheetView workbookViewId="0">
      <pane ySplit="1" topLeftCell="A161" activePane="bottomLeft" state="frozen"/>
      <selection pane="bottomLeft" sqref="A1:XFD1048576"/>
    </sheetView>
  </sheetViews>
  <sheetFormatPr defaultColWidth="12.6640625" defaultRowHeight="15.75" customHeight="1" x14ac:dyDescent="0.35"/>
  <cols>
    <col min="1" max="1" width="10.796875" customWidth="1"/>
    <col min="2" max="2" width="18.86328125" customWidth="1"/>
    <col min="3" max="3" width="8.19921875" customWidth="1"/>
    <col min="4" max="4" width="12.46484375" customWidth="1"/>
    <col min="5" max="5" width="14.46484375" customWidth="1"/>
    <col min="6" max="6" width="7.6640625" customWidth="1"/>
    <col min="7" max="7" width="8.19921875" customWidth="1"/>
    <col min="8" max="8" width="8.86328125" customWidth="1"/>
    <col min="9" max="9" width="7.86328125" customWidth="1"/>
    <col min="10" max="10" width="7.796875" customWidth="1"/>
    <col min="11" max="12" width="7.33203125" customWidth="1"/>
    <col min="13" max="13" width="9.796875" customWidth="1"/>
    <col min="14" max="14" width="18.86328125" customWidth="1"/>
    <col min="15" max="15" width="36.6640625" customWidth="1"/>
    <col min="16" max="16" width="18.86328125" customWidth="1"/>
    <col min="17" max="17" width="42" customWidth="1"/>
    <col min="18" max="18" width="24.53125" customWidth="1"/>
    <col min="19" max="23" width="18.86328125" customWidth="1"/>
  </cols>
  <sheetData>
    <row r="1" spans="1:18" ht="22.5" customHeight="1" x14ac:dyDescent="0.3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382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</row>
    <row r="2" spans="1:18" ht="22.5" customHeight="1" x14ac:dyDescent="0.35">
      <c r="A2" s="4">
        <v>1</v>
      </c>
      <c r="B2" s="4" t="s">
        <v>17</v>
      </c>
      <c r="C2" s="4">
        <v>43</v>
      </c>
      <c r="D2" s="4" t="s">
        <v>18</v>
      </c>
      <c r="E2" s="4" t="s">
        <v>19</v>
      </c>
      <c r="F2" s="5">
        <v>2</v>
      </c>
      <c r="G2" s="4">
        <v>5</v>
      </c>
      <c r="H2" s="4">
        <v>4</v>
      </c>
      <c r="I2" s="4">
        <v>5</v>
      </c>
      <c r="J2" s="4">
        <v>5</v>
      </c>
      <c r="K2" s="4">
        <v>5</v>
      </c>
      <c r="L2" s="4">
        <f>SUM(Data_Gabungan[[#This Row],[Y1) Jika menerima undangan bergabung sebagai anggota HPFP, saya berniat menerimanya.]:[Y5) Saya berniat merekomendasikan keanggotaan HPFP kepada rekan sejawat saya.]])</f>
        <v>24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</row>
    <row r="3" spans="1:18" ht="22.5" customHeight="1" x14ac:dyDescent="0.35">
      <c r="A3" s="4">
        <v>1</v>
      </c>
      <c r="B3" s="4" t="s">
        <v>26</v>
      </c>
      <c r="C3" s="4">
        <v>48</v>
      </c>
      <c r="D3" s="4" t="s">
        <v>18</v>
      </c>
      <c r="E3" s="4" t="s">
        <v>19</v>
      </c>
      <c r="F3" s="5">
        <v>2</v>
      </c>
      <c r="G3" s="4">
        <v>5</v>
      </c>
      <c r="H3" s="4">
        <v>5</v>
      </c>
      <c r="I3" s="4">
        <v>5</v>
      </c>
      <c r="J3" s="4">
        <v>5</v>
      </c>
      <c r="K3" s="4">
        <v>5</v>
      </c>
      <c r="L3" s="4">
        <f>SUM(Data_Gabungan[[#This Row],[Y1) Jika menerima undangan bergabung sebagai anggota HPFP, saya berniat menerimanya.]:[Y5) Saya berniat merekomendasikan keanggotaan HPFP kepada rekan sejawat saya.]])</f>
        <v>25</v>
      </c>
      <c r="M3" s="4" t="s">
        <v>20</v>
      </c>
      <c r="N3" s="4" t="s">
        <v>21</v>
      </c>
      <c r="O3" s="4" t="s">
        <v>27</v>
      </c>
      <c r="P3" s="4" t="s">
        <v>23</v>
      </c>
      <c r="Q3" s="4" t="s">
        <v>28</v>
      </c>
      <c r="R3" s="4" t="s">
        <v>25</v>
      </c>
    </row>
    <row r="4" spans="1:18" ht="22.5" customHeight="1" x14ac:dyDescent="0.35">
      <c r="A4" s="4">
        <v>1</v>
      </c>
      <c r="B4" s="4" t="s">
        <v>29</v>
      </c>
      <c r="C4" s="4">
        <v>39</v>
      </c>
      <c r="D4" s="4" t="s">
        <v>18</v>
      </c>
      <c r="E4" s="4" t="s">
        <v>19</v>
      </c>
      <c r="F4" s="5">
        <v>1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f>SUM(Data_Gabungan[[#This Row],[Y1) Jika menerima undangan bergabung sebagai anggota HPFP, saya berniat menerimanya.]:[Y5) Saya berniat merekomendasikan keanggotaan HPFP kepada rekan sejawat saya.]])</f>
        <v>25</v>
      </c>
      <c r="M4" s="4" t="s">
        <v>20</v>
      </c>
      <c r="N4" s="4" t="s">
        <v>21</v>
      </c>
      <c r="O4" s="4" t="s">
        <v>30</v>
      </c>
      <c r="P4" s="4" t="s">
        <v>23</v>
      </c>
      <c r="Q4" s="4" t="s">
        <v>24</v>
      </c>
      <c r="R4" s="4" t="s">
        <v>25</v>
      </c>
    </row>
    <row r="5" spans="1:18" ht="22.5" customHeight="1" x14ac:dyDescent="0.35">
      <c r="A5" s="4">
        <v>1</v>
      </c>
      <c r="B5" s="4" t="s">
        <v>31</v>
      </c>
      <c r="C5" s="4">
        <v>50</v>
      </c>
      <c r="D5" s="4" t="s">
        <v>18</v>
      </c>
      <c r="E5" s="4" t="s">
        <v>19</v>
      </c>
      <c r="F5" s="5">
        <v>1</v>
      </c>
      <c r="G5" s="4">
        <v>5</v>
      </c>
      <c r="H5" s="4">
        <v>5</v>
      </c>
      <c r="I5" s="4">
        <v>5</v>
      </c>
      <c r="J5" s="4">
        <v>5</v>
      </c>
      <c r="K5" s="4">
        <v>4</v>
      </c>
      <c r="L5" s="4">
        <f>SUM(Data_Gabungan[[#This Row],[Y1) Jika menerima undangan bergabung sebagai anggota HPFP, saya berniat menerimanya.]:[Y5) Saya berniat merekomendasikan keanggotaan HPFP kepada rekan sejawat saya.]])</f>
        <v>24</v>
      </c>
      <c r="M5" s="4" t="s">
        <v>20</v>
      </c>
      <c r="N5" s="4" t="s">
        <v>21</v>
      </c>
      <c r="O5" s="4" t="s">
        <v>32</v>
      </c>
      <c r="P5" s="4" t="s">
        <v>33</v>
      </c>
      <c r="Q5" s="4" t="s">
        <v>24</v>
      </c>
      <c r="R5" s="4" t="s">
        <v>25</v>
      </c>
    </row>
    <row r="6" spans="1:18" ht="22.5" customHeight="1" x14ac:dyDescent="0.35">
      <c r="A6" s="4">
        <v>1</v>
      </c>
      <c r="B6" s="4" t="s">
        <v>34</v>
      </c>
      <c r="C6" s="4">
        <v>49</v>
      </c>
      <c r="D6" s="4" t="s">
        <v>18</v>
      </c>
      <c r="E6" s="4" t="s">
        <v>19</v>
      </c>
      <c r="F6" s="5">
        <v>3</v>
      </c>
      <c r="G6" s="4">
        <v>3</v>
      </c>
      <c r="H6" s="4">
        <v>4</v>
      </c>
      <c r="I6" s="4">
        <v>3</v>
      </c>
      <c r="J6" s="4">
        <v>5</v>
      </c>
      <c r="K6" s="4">
        <v>3</v>
      </c>
      <c r="L6" s="4">
        <f>SUM(Data_Gabungan[[#This Row],[Y1) Jika menerima undangan bergabung sebagai anggota HPFP, saya berniat menerimanya.]:[Y5) Saya berniat merekomendasikan keanggotaan HPFP kepada rekan sejawat saya.]])</f>
        <v>18</v>
      </c>
      <c r="M6" s="4" t="s">
        <v>20</v>
      </c>
      <c r="N6" s="4" t="s">
        <v>21</v>
      </c>
      <c r="O6" s="4" t="s">
        <v>35</v>
      </c>
      <c r="P6" s="4" t="s">
        <v>23</v>
      </c>
      <c r="Q6" s="4" t="s">
        <v>28</v>
      </c>
      <c r="R6" s="4" t="s">
        <v>25</v>
      </c>
    </row>
    <row r="7" spans="1:18" ht="22.5" customHeight="1" x14ac:dyDescent="0.35">
      <c r="A7" s="4">
        <v>1</v>
      </c>
      <c r="B7" s="4" t="s">
        <v>36</v>
      </c>
      <c r="C7" s="4">
        <v>34</v>
      </c>
      <c r="D7" s="4" t="s">
        <v>37</v>
      </c>
      <c r="E7" s="4" t="s">
        <v>38</v>
      </c>
      <c r="F7" s="5">
        <v>1</v>
      </c>
      <c r="G7" s="4">
        <v>4</v>
      </c>
      <c r="H7" s="4">
        <v>4</v>
      </c>
      <c r="I7" s="4">
        <v>4</v>
      </c>
      <c r="J7" s="4">
        <v>4</v>
      </c>
      <c r="K7" s="4">
        <v>4</v>
      </c>
      <c r="L7" s="4">
        <f>SUM(Data_Gabungan[[#This Row],[Y1) Jika menerima undangan bergabung sebagai anggota HPFP, saya berniat menerimanya.]:[Y5) Saya berniat merekomendasikan keanggotaan HPFP kepada rekan sejawat saya.]])</f>
        <v>20</v>
      </c>
      <c r="M7" s="4" t="s">
        <v>20</v>
      </c>
      <c r="N7" s="4" t="s">
        <v>21</v>
      </c>
      <c r="O7" s="4" t="s">
        <v>39</v>
      </c>
      <c r="P7" s="4" t="s">
        <v>40</v>
      </c>
      <c r="Q7" s="4" t="s">
        <v>28</v>
      </c>
      <c r="R7" s="4" t="s">
        <v>41</v>
      </c>
    </row>
    <row r="8" spans="1:18" ht="22.5" customHeight="1" x14ac:dyDescent="0.35">
      <c r="A8" s="4">
        <v>1</v>
      </c>
      <c r="B8" s="4" t="s">
        <v>42</v>
      </c>
      <c r="C8" s="4">
        <v>30</v>
      </c>
      <c r="D8" s="4" t="s">
        <v>18</v>
      </c>
      <c r="E8" s="4" t="s">
        <v>38</v>
      </c>
      <c r="F8" s="5">
        <v>3</v>
      </c>
      <c r="G8" s="4">
        <v>4</v>
      </c>
      <c r="H8" s="4">
        <v>5</v>
      </c>
      <c r="I8" s="4">
        <v>4</v>
      </c>
      <c r="J8" s="4">
        <v>5</v>
      </c>
      <c r="K8" s="4">
        <v>4</v>
      </c>
      <c r="L8" s="4">
        <f>SUM(Data_Gabungan[[#This Row],[Y1) Jika menerima undangan bergabung sebagai anggota HPFP, saya berniat menerimanya.]:[Y5) Saya berniat merekomendasikan keanggotaan HPFP kepada rekan sejawat saya.]])</f>
        <v>22</v>
      </c>
      <c r="M8" s="4" t="s">
        <v>20</v>
      </c>
      <c r="N8" s="4" t="s">
        <v>43</v>
      </c>
      <c r="O8" s="4" t="s">
        <v>44</v>
      </c>
      <c r="P8" s="4" t="s">
        <v>40</v>
      </c>
      <c r="Q8" s="4" t="s">
        <v>24</v>
      </c>
      <c r="R8" s="4" t="s">
        <v>41</v>
      </c>
    </row>
    <row r="9" spans="1:18" ht="22.5" customHeight="1" x14ac:dyDescent="0.35">
      <c r="A9" s="4">
        <v>1</v>
      </c>
      <c r="B9" s="4" t="s">
        <v>45</v>
      </c>
      <c r="C9" s="4">
        <v>50</v>
      </c>
      <c r="D9" s="4" t="s">
        <v>18</v>
      </c>
      <c r="E9" s="4" t="s">
        <v>19</v>
      </c>
      <c r="F9" s="5">
        <v>2</v>
      </c>
      <c r="G9" s="4">
        <v>5</v>
      </c>
      <c r="H9" s="4">
        <v>4</v>
      </c>
      <c r="I9" s="4">
        <v>4</v>
      </c>
      <c r="J9" s="4">
        <v>4</v>
      </c>
      <c r="K9" s="4">
        <v>4</v>
      </c>
      <c r="L9" s="4">
        <f>SUM(Data_Gabungan[[#This Row],[Y1) Jika menerima undangan bergabung sebagai anggota HPFP, saya berniat menerimanya.]:[Y5) Saya berniat merekomendasikan keanggotaan HPFP kepada rekan sejawat saya.]])</f>
        <v>21</v>
      </c>
      <c r="M9" s="4" t="s">
        <v>20</v>
      </c>
      <c r="N9" s="4" t="s">
        <v>43</v>
      </c>
      <c r="O9" s="4" t="s">
        <v>46</v>
      </c>
      <c r="P9" s="4" t="s">
        <v>33</v>
      </c>
      <c r="Q9" s="4" t="s">
        <v>24</v>
      </c>
      <c r="R9" s="4" t="s">
        <v>47</v>
      </c>
    </row>
    <row r="10" spans="1:18" ht="22.5" customHeight="1" x14ac:dyDescent="0.35">
      <c r="A10" s="4">
        <v>1</v>
      </c>
      <c r="B10" s="4" t="s">
        <v>48</v>
      </c>
      <c r="C10" s="4">
        <v>33</v>
      </c>
      <c r="D10" s="4" t="s">
        <v>18</v>
      </c>
      <c r="E10" s="4" t="s">
        <v>38</v>
      </c>
      <c r="F10" s="5">
        <v>1</v>
      </c>
      <c r="G10" s="4">
        <v>5</v>
      </c>
      <c r="H10" s="4">
        <v>3</v>
      </c>
      <c r="I10" s="4">
        <v>3</v>
      </c>
      <c r="J10" s="4">
        <v>3</v>
      </c>
      <c r="K10" s="4">
        <v>2</v>
      </c>
      <c r="L10" s="4">
        <f>SUM(Data_Gabungan[[#This Row],[Y1) Jika menerima undangan bergabung sebagai anggota HPFP, saya berniat menerimanya.]:[Y5) Saya berniat merekomendasikan keanggotaan HPFP kepada rekan sejawat saya.]])</f>
        <v>16</v>
      </c>
      <c r="M10" s="4" t="s">
        <v>20</v>
      </c>
      <c r="N10" s="4" t="s">
        <v>21</v>
      </c>
      <c r="O10" s="4" t="s">
        <v>49</v>
      </c>
      <c r="P10" s="4" t="s">
        <v>40</v>
      </c>
      <c r="Q10" s="4" t="s">
        <v>24</v>
      </c>
      <c r="R10" s="4" t="s">
        <v>41</v>
      </c>
    </row>
    <row r="11" spans="1:18" ht="22.5" customHeight="1" x14ac:dyDescent="0.35">
      <c r="A11" s="4">
        <v>1</v>
      </c>
      <c r="B11" s="4" t="s">
        <v>50</v>
      </c>
      <c r="C11" s="4">
        <v>26</v>
      </c>
      <c r="D11" s="4" t="s">
        <v>18</v>
      </c>
      <c r="E11" s="4" t="s">
        <v>38</v>
      </c>
      <c r="F11" s="5">
        <v>3</v>
      </c>
      <c r="G11" s="4">
        <v>3</v>
      </c>
      <c r="H11" s="4">
        <v>3</v>
      </c>
      <c r="I11" s="4">
        <v>4</v>
      </c>
      <c r="J11" s="4">
        <v>3</v>
      </c>
      <c r="K11" s="4">
        <v>3</v>
      </c>
      <c r="L11" s="4">
        <f>SUM(Data_Gabungan[[#This Row],[Y1) Jika menerima undangan bergabung sebagai anggota HPFP, saya berniat menerimanya.]:[Y5) Saya berniat merekomendasikan keanggotaan HPFP kepada rekan sejawat saya.]])</f>
        <v>16</v>
      </c>
      <c r="M11" s="4" t="s">
        <v>51</v>
      </c>
      <c r="N11" s="4" t="s">
        <v>21</v>
      </c>
      <c r="O11" s="4" t="s">
        <v>52</v>
      </c>
      <c r="P11" s="4" t="s">
        <v>53</v>
      </c>
      <c r="Q11" s="4" t="s">
        <v>24</v>
      </c>
      <c r="R11" s="4" t="s">
        <v>41</v>
      </c>
    </row>
    <row r="12" spans="1:18" ht="22.5" customHeight="1" x14ac:dyDescent="0.35">
      <c r="A12" s="4">
        <v>1</v>
      </c>
      <c r="B12" s="4" t="s">
        <v>54</v>
      </c>
      <c r="C12" s="4">
        <v>48</v>
      </c>
      <c r="D12" s="4" t="s">
        <v>37</v>
      </c>
      <c r="E12" s="4" t="s">
        <v>19</v>
      </c>
      <c r="F12" s="5">
        <v>2</v>
      </c>
      <c r="G12" s="4">
        <v>5</v>
      </c>
      <c r="H12" s="4">
        <v>5</v>
      </c>
      <c r="I12" s="4">
        <v>4</v>
      </c>
      <c r="J12" s="4">
        <v>5</v>
      </c>
      <c r="K12" s="4">
        <v>5</v>
      </c>
      <c r="L12" s="4">
        <f>SUM(Data_Gabungan[[#This Row],[Y1) Jika menerima undangan bergabung sebagai anggota HPFP, saya berniat menerimanya.]:[Y5) Saya berniat merekomendasikan keanggotaan HPFP kepada rekan sejawat saya.]])</f>
        <v>24</v>
      </c>
      <c r="M12" s="4" t="s">
        <v>20</v>
      </c>
      <c r="N12" s="4" t="s">
        <v>21</v>
      </c>
      <c r="O12" s="4" t="s">
        <v>55</v>
      </c>
      <c r="P12" s="4" t="s">
        <v>33</v>
      </c>
      <c r="Q12" s="4" t="s">
        <v>24</v>
      </c>
      <c r="R12" s="4" t="s">
        <v>25</v>
      </c>
    </row>
    <row r="13" spans="1:18" ht="22.5" customHeight="1" x14ac:dyDescent="0.35">
      <c r="A13" s="4">
        <v>1</v>
      </c>
      <c r="B13" s="4" t="s">
        <v>56</v>
      </c>
      <c r="C13" s="4">
        <v>29</v>
      </c>
      <c r="D13" s="4" t="s">
        <v>37</v>
      </c>
      <c r="E13" s="4" t="s">
        <v>38</v>
      </c>
      <c r="F13" s="5">
        <v>2</v>
      </c>
      <c r="G13" s="4">
        <v>3</v>
      </c>
      <c r="H13" s="4">
        <v>3</v>
      </c>
      <c r="I13" s="4">
        <v>4</v>
      </c>
      <c r="J13" s="4">
        <v>4</v>
      </c>
      <c r="K13" s="4">
        <v>4</v>
      </c>
      <c r="L13" s="4">
        <f>SUM(Data_Gabungan[[#This Row],[Y1) Jika menerima undangan bergabung sebagai anggota HPFP, saya berniat menerimanya.]:[Y5) Saya berniat merekomendasikan keanggotaan HPFP kepada rekan sejawat saya.]])</f>
        <v>18</v>
      </c>
      <c r="M13" s="4" t="s">
        <v>20</v>
      </c>
      <c r="N13" s="4" t="s">
        <v>21</v>
      </c>
      <c r="O13" s="4" t="s">
        <v>57</v>
      </c>
      <c r="P13" s="4" t="s">
        <v>53</v>
      </c>
      <c r="Q13" s="4" t="s">
        <v>28</v>
      </c>
      <c r="R13" s="4" t="s">
        <v>41</v>
      </c>
    </row>
    <row r="14" spans="1:18" ht="22.5" customHeight="1" x14ac:dyDescent="0.35">
      <c r="A14" s="4">
        <v>1</v>
      </c>
      <c r="B14" s="4" t="s">
        <v>58</v>
      </c>
      <c r="C14" s="4">
        <v>55</v>
      </c>
      <c r="D14" s="4" t="s">
        <v>18</v>
      </c>
      <c r="E14" s="4" t="s">
        <v>19</v>
      </c>
      <c r="F14" s="5">
        <v>2</v>
      </c>
      <c r="G14" s="4">
        <v>5</v>
      </c>
      <c r="H14" s="4">
        <v>5</v>
      </c>
      <c r="I14" s="4">
        <v>5</v>
      </c>
      <c r="J14" s="4">
        <v>5</v>
      </c>
      <c r="K14" s="4">
        <v>5</v>
      </c>
      <c r="L14" s="4">
        <f>SUM(Data_Gabungan[[#This Row],[Y1) Jika menerima undangan bergabung sebagai anggota HPFP, saya berniat menerimanya.]:[Y5) Saya berniat merekomendasikan keanggotaan HPFP kepada rekan sejawat saya.]])</f>
        <v>25</v>
      </c>
      <c r="M14" s="4" t="s">
        <v>20</v>
      </c>
      <c r="N14" s="4" t="s">
        <v>43</v>
      </c>
      <c r="O14" s="4" t="s">
        <v>59</v>
      </c>
      <c r="P14" s="4" t="s">
        <v>33</v>
      </c>
      <c r="Q14" s="4" t="s">
        <v>28</v>
      </c>
      <c r="R14" s="4" t="s">
        <v>47</v>
      </c>
    </row>
    <row r="15" spans="1:18" ht="22.5" customHeight="1" x14ac:dyDescent="0.35">
      <c r="A15" s="4">
        <v>1</v>
      </c>
      <c r="B15" s="4" t="s">
        <v>60</v>
      </c>
      <c r="C15" s="4">
        <v>27</v>
      </c>
      <c r="D15" s="4" t="s">
        <v>37</v>
      </c>
      <c r="E15" s="4" t="s">
        <v>38</v>
      </c>
      <c r="F15" s="5">
        <v>2</v>
      </c>
      <c r="G15" s="4">
        <v>4</v>
      </c>
      <c r="H15" s="4">
        <v>4</v>
      </c>
      <c r="I15" s="4">
        <v>4</v>
      </c>
      <c r="J15" s="4">
        <v>3</v>
      </c>
      <c r="K15" s="4">
        <v>4</v>
      </c>
      <c r="L15" s="4">
        <f>SUM(Data_Gabungan[[#This Row],[Y1) Jika menerima undangan bergabung sebagai anggota HPFP, saya berniat menerimanya.]:[Y5) Saya berniat merekomendasikan keanggotaan HPFP kepada rekan sejawat saya.]])</f>
        <v>19</v>
      </c>
      <c r="M15" s="4" t="s">
        <v>20</v>
      </c>
      <c r="N15" s="4" t="s">
        <v>21</v>
      </c>
      <c r="O15" s="4" t="s">
        <v>61</v>
      </c>
      <c r="P15" s="4" t="s">
        <v>53</v>
      </c>
      <c r="Q15" s="4" t="s">
        <v>28</v>
      </c>
      <c r="R15" s="4" t="s">
        <v>41</v>
      </c>
    </row>
    <row r="16" spans="1:18" ht="22.5" customHeight="1" x14ac:dyDescent="0.35">
      <c r="A16" s="4">
        <v>1</v>
      </c>
      <c r="B16" s="4" t="s">
        <v>62</v>
      </c>
      <c r="C16" s="4">
        <v>52</v>
      </c>
      <c r="D16" s="4" t="s">
        <v>37</v>
      </c>
      <c r="E16" s="4" t="s">
        <v>19</v>
      </c>
      <c r="F16" s="5">
        <v>4</v>
      </c>
      <c r="G16" s="4">
        <v>5</v>
      </c>
      <c r="H16" s="4">
        <v>5</v>
      </c>
      <c r="I16" s="4">
        <v>5</v>
      </c>
      <c r="J16" s="4">
        <v>3</v>
      </c>
      <c r="K16" s="4">
        <v>4</v>
      </c>
      <c r="L16" s="4">
        <f>SUM(Data_Gabungan[[#This Row],[Y1) Jika menerima undangan bergabung sebagai anggota HPFP, saya berniat menerimanya.]:[Y5) Saya berniat merekomendasikan keanggotaan HPFP kepada rekan sejawat saya.]])</f>
        <v>22</v>
      </c>
      <c r="M16" s="4" t="s">
        <v>20</v>
      </c>
      <c r="N16" s="4" t="s">
        <v>21</v>
      </c>
      <c r="O16" s="4" t="s">
        <v>63</v>
      </c>
      <c r="P16" s="4" t="s">
        <v>33</v>
      </c>
      <c r="Q16" s="4" t="s">
        <v>28</v>
      </c>
      <c r="R16" s="4" t="s">
        <v>25</v>
      </c>
    </row>
    <row r="17" spans="1:18" ht="22.5" customHeight="1" x14ac:dyDescent="0.35">
      <c r="A17" s="4">
        <v>1</v>
      </c>
      <c r="B17" s="4" t="s">
        <v>64</v>
      </c>
      <c r="C17" s="4">
        <v>30</v>
      </c>
      <c r="D17" s="4" t="s">
        <v>18</v>
      </c>
      <c r="E17" s="4" t="s">
        <v>38</v>
      </c>
      <c r="F17" s="5">
        <v>2</v>
      </c>
      <c r="G17" s="4">
        <v>4</v>
      </c>
      <c r="H17" s="4">
        <v>2</v>
      </c>
      <c r="I17" s="4">
        <v>4</v>
      </c>
      <c r="J17" s="4">
        <v>4</v>
      </c>
      <c r="K17" s="4">
        <v>4</v>
      </c>
      <c r="L17" s="4">
        <f>SUM(Data_Gabungan[[#This Row],[Y1) Jika menerima undangan bergabung sebagai anggota HPFP, saya berniat menerimanya.]:[Y5) Saya berniat merekomendasikan keanggotaan HPFP kepada rekan sejawat saya.]])</f>
        <v>18</v>
      </c>
      <c r="M17" s="4" t="s">
        <v>20</v>
      </c>
      <c r="N17" s="4" t="s">
        <v>43</v>
      </c>
      <c r="O17" s="4" t="s">
        <v>65</v>
      </c>
      <c r="P17" s="4" t="s">
        <v>40</v>
      </c>
      <c r="Q17" s="4" t="s">
        <v>28</v>
      </c>
      <c r="R17" s="4" t="s">
        <v>25</v>
      </c>
    </row>
    <row r="18" spans="1:18" ht="22.5" customHeight="1" x14ac:dyDescent="0.35">
      <c r="A18" s="4">
        <v>1</v>
      </c>
      <c r="B18" s="4" t="s">
        <v>66</v>
      </c>
      <c r="C18" s="4">
        <v>31</v>
      </c>
      <c r="D18" s="4" t="s">
        <v>37</v>
      </c>
      <c r="E18" s="4" t="s">
        <v>38</v>
      </c>
      <c r="F18" s="5">
        <v>1</v>
      </c>
      <c r="G18" s="4">
        <v>5</v>
      </c>
      <c r="H18" s="4">
        <v>5</v>
      </c>
      <c r="I18" s="4">
        <v>5</v>
      </c>
      <c r="J18" s="4">
        <v>5</v>
      </c>
      <c r="K18" s="4">
        <v>5</v>
      </c>
      <c r="L18" s="4">
        <f>SUM(Data_Gabungan[[#This Row],[Y1) Jika menerima undangan bergabung sebagai anggota HPFP, saya berniat menerimanya.]:[Y5) Saya berniat merekomendasikan keanggotaan HPFP kepada rekan sejawat saya.]])</f>
        <v>25</v>
      </c>
      <c r="M18" s="4" t="s">
        <v>20</v>
      </c>
      <c r="N18" s="4" t="s">
        <v>43</v>
      </c>
      <c r="O18" s="4" t="s">
        <v>67</v>
      </c>
      <c r="P18" s="4" t="s">
        <v>40</v>
      </c>
      <c r="Q18" s="4" t="s">
        <v>28</v>
      </c>
      <c r="R18" s="4" t="s">
        <v>41</v>
      </c>
    </row>
    <row r="19" spans="1:18" ht="22.5" customHeight="1" x14ac:dyDescent="0.35">
      <c r="A19" s="4">
        <v>1</v>
      </c>
      <c r="B19" s="4" t="s">
        <v>68</v>
      </c>
      <c r="C19" s="4">
        <v>31</v>
      </c>
      <c r="D19" s="4" t="s">
        <v>18</v>
      </c>
      <c r="E19" s="4" t="s">
        <v>38</v>
      </c>
      <c r="F19" s="5">
        <v>1</v>
      </c>
      <c r="G19" s="4">
        <v>5</v>
      </c>
      <c r="H19" s="4">
        <v>5</v>
      </c>
      <c r="I19" s="4">
        <v>4</v>
      </c>
      <c r="J19" s="4">
        <v>5</v>
      </c>
      <c r="K19" s="4">
        <v>5</v>
      </c>
      <c r="L19" s="4">
        <f>SUM(Data_Gabungan[[#This Row],[Y1) Jika menerima undangan bergabung sebagai anggota HPFP, saya berniat menerimanya.]:[Y5) Saya berniat merekomendasikan keanggotaan HPFP kepada rekan sejawat saya.]])</f>
        <v>24</v>
      </c>
      <c r="M19" s="4" t="s">
        <v>51</v>
      </c>
      <c r="N19" s="4" t="s">
        <v>43</v>
      </c>
      <c r="O19" s="4" t="s">
        <v>69</v>
      </c>
      <c r="P19" s="4" t="s">
        <v>53</v>
      </c>
      <c r="Q19" s="4" t="s">
        <v>28</v>
      </c>
      <c r="R19" s="4" t="s">
        <v>41</v>
      </c>
    </row>
    <row r="20" spans="1:18" ht="22.5" customHeight="1" x14ac:dyDescent="0.35">
      <c r="A20" s="4">
        <v>1</v>
      </c>
      <c r="B20" s="4" t="s">
        <v>70</v>
      </c>
      <c r="C20" s="4">
        <v>37</v>
      </c>
      <c r="D20" s="4" t="s">
        <v>18</v>
      </c>
      <c r="E20" s="4" t="s">
        <v>38</v>
      </c>
      <c r="F20" s="5">
        <v>3</v>
      </c>
      <c r="G20" s="4">
        <v>4</v>
      </c>
      <c r="H20" s="4">
        <v>5</v>
      </c>
      <c r="I20" s="4">
        <v>5</v>
      </c>
      <c r="J20" s="4">
        <v>5</v>
      </c>
      <c r="K20" s="4">
        <v>5</v>
      </c>
      <c r="L20" s="4">
        <f>SUM(Data_Gabungan[[#This Row],[Y1) Jika menerima undangan bergabung sebagai anggota HPFP, saya berniat menerimanya.]:[Y5) Saya berniat merekomendasikan keanggotaan HPFP kepada rekan sejawat saya.]])</f>
        <v>24</v>
      </c>
      <c r="M20" s="4" t="s">
        <v>51</v>
      </c>
      <c r="N20" s="4" t="s">
        <v>43</v>
      </c>
      <c r="O20" s="4" t="s">
        <v>71</v>
      </c>
      <c r="P20" s="4" t="s">
        <v>53</v>
      </c>
      <c r="Q20" s="4" t="s">
        <v>24</v>
      </c>
      <c r="R20" s="4" t="s">
        <v>25</v>
      </c>
    </row>
    <row r="21" spans="1:18" ht="22.5" customHeight="1" x14ac:dyDescent="0.35">
      <c r="A21" s="4">
        <v>1</v>
      </c>
      <c r="B21" s="4" t="s">
        <v>72</v>
      </c>
      <c r="C21" s="4">
        <v>36</v>
      </c>
      <c r="D21" s="4" t="s">
        <v>37</v>
      </c>
      <c r="E21" s="4" t="s">
        <v>38</v>
      </c>
      <c r="F21" s="5">
        <v>1</v>
      </c>
      <c r="G21" s="4">
        <v>5</v>
      </c>
      <c r="H21" s="4">
        <v>4</v>
      </c>
      <c r="I21" s="4">
        <v>5</v>
      </c>
      <c r="J21" s="4">
        <v>4</v>
      </c>
      <c r="K21" s="4">
        <v>4</v>
      </c>
      <c r="L21" s="4">
        <f>SUM(Data_Gabungan[[#This Row],[Y1) Jika menerima undangan bergabung sebagai anggota HPFP, saya berniat menerimanya.]:[Y5) Saya berniat merekomendasikan keanggotaan HPFP kepada rekan sejawat saya.]])</f>
        <v>22</v>
      </c>
      <c r="M21" s="4" t="s">
        <v>20</v>
      </c>
      <c r="N21" s="4" t="s">
        <v>43</v>
      </c>
      <c r="O21" s="4" t="s">
        <v>73</v>
      </c>
      <c r="P21" s="4" t="s">
        <v>40</v>
      </c>
      <c r="Q21" s="4" t="s">
        <v>24</v>
      </c>
      <c r="R21" s="4" t="s">
        <v>41</v>
      </c>
    </row>
    <row r="22" spans="1:18" ht="22.5" customHeight="1" x14ac:dyDescent="0.35">
      <c r="A22" s="4">
        <v>1</v>
      </c>
      <c r="B22" s="4" t="s">
        <v>74</v>
      </c>
      <c r="C22" s="4">
        <v>31</v>
      </c>
      <c r="D22" s="4" t="s">
        <v>37</v>
      </c>
      <c r="E22" s="4" t="s">
        <v>38</v>
      </c>
      <c r="F22" s="5">
        <v>2</v>
      </c>
      <c r="G22" s="4">
        <v>5</v>
      </c>
      <c r="H22" s="4">
        <v>5</v>
      </c>
      <c r="I22" s="4">
        <v>4</v>
      </c>
      <c r="J22" s="4">
        <v>5</v>
      </c>
      <c r="K22" s="4">
        <v>5</v>
      </c>
      <c r="L22" s="4">
        <f>SUM(Data_Gabungan[[#This Row],[Y1) Jika menerima undangan bergabung sebagai anggota HPFP, saya berniat menerimanya.]:[Y5) Saya berniat merekomendasikan keanggotaan HPFP kepada rekan sejawat saya.]])</f>
        <v>24</v>
      </c>
      <c r="M22" s="4" t="s">
        <v>20</v>
      </c>
      <c r="N22" s="4" t="s">
        <v>43</v>
      </c>
      <c r="O22" s="4" t="s">
        <v>75</v>
      </c>
      <c r="P22" s="4" t="s">
        <v>40</v>
      </c>
      <c r="Q22" s="4" t="s">
        <v>28</v>
      </c>
      <c r="R22" s="4" t="s">
        <v>41</v>
      </c>
    </row>
    <row r="23" spans="1:18" ht="22.5" customHeight="1" x14ac:dyDescent="0.35">
      <c r="A23" s="4">
        <v>1</v>
      </c>
      <c r="B23" s="4" t="s">
        <v>76</v>
      </c>
      <c r="C23" s="4">
        <v>31</v>
      </c>
      <c r="D23" s="4" t="s">
        <v>37</v>
      </c>
      <c r="E23" s="4" t="s">
        <v>38</v>
      </c>
      <c r="F23" s="5">
        <v>1</v>
      </c>
      <c r="G23" s="4">
        <v>5</v>
      </c>
      <c r="H23" s="4">
        <v>5</v>
      </c>
      <c r="I23" s="4">
        <v>4</v>
      </c>
      <c r="J23" s="4">
        <v>5</v>
      </c>
      <c r="K23" s="4">
        <v>4</v>
      </c>
      <c r="L23" s="4">
        <f>SUM(Data_Gabungan[[#This Row],[Y1) Jika menerima undangan bergabung sebagai anggota HPFP, saya berniat menerimanya.]:[Y5) Saya berniat merekomendasikan keanggotaan HPFP kepada rekan sejawat saya.]])</f>
        <v>23</v>
      </c>
      <c r="M23" s="4" t="s">
        <v>51</v>
      </c>
      <c r="N23" s="4" t="s">
        <v>43</v>
      </c>
      <c r="O23" s="4" t="s">
        <v>77</v>
      </c>
      <c r="P23" s="4" t="s">
        <v>53</v>
      </c>
      <c r="Q23" s="4" t="s">
        <v>28</v>
      </c>
      <c r="R23" s="4" t="s">
        <v>41</v>
      </c>
    </row>
    <row r="24" spans="1:18" ht="22.5" customHeight="1" x14ac:dyDescent="0.35">
      <c r="A24" s="4">
        <v>1</v>
      </c>
      <c r="B24" s="4" t="s">
        <v>78</v>
      </c>
      <c r="C24" s="4">
        <v>38</v>
      </c>
      <c r="D24" s="4" t="s">
        <v>18</v>
      </c>
      <c r="E24" s="4" t="s">
        <v>38</v>
      </c>
      <c r="F24" s="5">
        <v>2</v>
      </c>
      <c r="G24" s="4">
        <v>5</v>
      </c>
      <c r="H24" s="4">
        <v>5</v>
      </c>
      <c r="I24" s="4">
        <v>5</v>
      </c>
      <c r="J24" s="4">
        <v>5</v>
      </c>
      <c r="K24" s="4">
        <v>5</v>
      </c>
      <c r="L24" s="4">
        <f>SUM(Data_Gabungan[[#This Row],[Y1) Jika menerima undangan bergabung sebagai anggota HPFP, saya berniat menerimanya.]:[Y5) Saya berniat merekomendasikan keanggotaan HPFP kepada rekan sejawat saya.]])</f>
        <v>25</v>
      </c>
      <c r="M24" s="4" t="s">
        <v>51</v>
      </c>
      <c r="N24" s="4" t="s">
        <v>43</v>
      </c>
      <c r="O24" s="4" t="s">
        <v>79</v>
      </c>
      <c r="P24" s="4" t="s">
        <v>53</v>
      </c>
      <c r="Q24" s="4" t="s">
        <v>24</v>
      </c>
      <c r="R24" s="4" t="s">
        <v>25</v>
      </c>
    </row>
    <row r="25" spans="1:18" ht="22.5" customHeight="1" x14ac:dyDescent="0.35">
      <c r="A25" s="4">
        <v>1</v>
      </c>
      <c r="B25" s="4" t="s">
        <v>80</v>
      </c>
      <c r="C25" s="4">
        <v>46</v>
      </c>
      <c r="D25" s="4" t="s">
        <v>18</v>
      </c>
      <c r="E25" s="4" t="s">
        <v>38</v>
      </c>
      <c r="F25" s="5">
        <v>2</v>
      </c>
      <c r="G25" s="4">
        <v>5</v>
      </c>
      <c r="H25" s="4">
        <v>4</v>
      </c>
      <c r="I25" s="4">
        <v>5</v>
      </c>
      <c r="J25" s="4">
        <v>5</v>
      </c>
      <c r="K25" s="4">
        <v>4</v>
      </c>
      <c r="L25" s="4">
        <f>SUM(Data_Gabungan[[#This Row],[Y1) Jika menerima undangan bergabung sebagai anggota HPFP, saya berniat menerimanya.]:[Y5) Saya berniat merekomendasikan keanggotaan HPFP kepada rekan sejawat saya.]])</f>
        <v>23</v>
      </c>
      <c r="M25" s="4" t="s">
        <v>20</v>
      </c>
      <c r="N25" s="4" t="s">
        <v>43</v>
      </c>
      <c r="O25" s="4" t="s">
        <v>81</v>
      </c>
      <c r="P25" s="4" t="s">
        <v>23</v>
      </c>
      <c r="Q25" s="4" t="s">
        <v>28</v>
      </c>
      <c r="R25" s="4" t="s">
        <v>41</v>
      </c>
    </row>
    <row r="26" spans="1:18" ht="22.5" customHeight="1" x14ac:dyDescent="0.35">
      <c r="A26" s="4">
        <v>1</v>
      </c>
      <c r="B26" s="4" t="s">
        <v>82</v>
      </c>
      <c r="C26" s="4">
        <v>46</v>
      </c>
      <c r="D26" s="4" t="s">
        <v>18</v>
      </c>
      <c r="E26" s="4" t="s">
        <v>38</v>
      </c>
      <c r="F26" s="5">
        <v>1</v>
      </c>
      <c r="G26" s="4">
        <v>4</v>
      </c>
      <c r="H26" s="4">
        <v>4</v>
      </c>
      <c r="I26" s="4">
        <v>5</v>
      </c>
      <c r="J26" s="4">
        <v>5</v>
      </c>
      <c r="K26" s="4">
        <v>5</v>
      </c>
      <c r="L26" s="4">
        <f>SUM(Data_Gabungan[[#This Row],[Y1) Jika menerima undangan bergabung sebagai anggota HPFP, saya berniat menerimanya.]:[Y5) Saya berniat merekomendasikan keanggotaan HPFP kepada rekan sejawat saya.]])</f>
        <v>23</v>
      </c>
      <c r="M26" s="4" t="s">
        <v>51</v>
      </c>
      <c r="N26" s="4" t="s">
        <v>43</v>
      </c>
      <c r="O26" s="4" t="s">
        <v>83</v>
      </c>
      <c r="P26" s="4" t="s">
        <v>53</v>
      </c>
      <c r="Q26" s="4" t="s">
        <v>24</v>
      </c>
      <c r="R26" s="4" t="s">
        <v>25</v>
      </c>
    </row>
    <row r="27" spans="1:18" ht="22.5" customHeight="1" x14ac:dyDescent="0.35">
      <c r="A27" s="4">
        <v>1</v>
      </c>
      <c r="B27" s="4" t="s">
        <v>84</v>
      </c>
      <c r="C27" s="4">
        <v>30</v>
      </c>
      <c r="D27" s="4" t="s">
        <v>18</v>
      </c>
      <c r="E27" s="4" t="s">
        <v>38</v>
      </c>
      <c r="F27" s="5">
        <v>1</v>
      </c>
      <c r="G27" s="4">
        <v>5</v>
      </c>
      <c r="H27" s="4">
        <v>5</v>
      </c>
      <c r="I27" s="4">
        <v>4</v>
      </c>
      <c r="J27" s="4">
        <v>5</v>
      </c>
      <c r="K27" s="4">
        <v>3</v>
      </c>
      <c r="L27" s="4">
        <f>SUM(Data_Gabungan[[#This Row],[Y1) Jika menerima undangan bergabung sebagai anggota HPFP, saya berniat menerimanya.]:[Y5) Saya berniat merekomendasikan keanggotaan HPFP kepada rekan sejawat saya.]])</f>
        <v>22</v>
      </c>
      <c r="M27" s="4" t="s">
        <v>20</v>
      </c>
      <c r="N27" s="4" t="s">
        <v>43</v>
      </c>
      <c r="O27" s="4" t="s">
        <v>85</v>
      </c>
      <c r="P27" s="4" t="s">
        <v>40</v>
      </c>
      <c r="Q27" s="4" t="s">
        <v>24</v>
      </c>
      <c r="R27" s="4" t="s">
        <v>41</v>
      </c>
    </row>
    <row r="28" spans="1:18" ht="22.5" customHeight="1" x14ac:dyDescent="0.35">
      <c r="A28" s="4">
        <v>1</v>
      </c>
      <c r="B28" s="4" t="s">
        <v>86</v>
      </c>
      <c r="C28" s="4">
        <v>27</v>
      </c>
      <c r="D28" s="4" t="s">
        <v>18</v>
      </c>
      <c r="E28" s="4" t="s">
        <v>38</v>
      </c>
      <c r="F28" s="5">
        <v>2</v>
      </c>
      <c r="G28" s="4">
        <v>5</v>
      </c>
      <c r="H28" s="4">
        <v>4</v>
      </c>
      <c r="I28" s="4">
        <v>4</v>
      </c>
      <c r="J28" s="4">
        <v>4</v>
      </c>
      <c r="K28" s="4">
        <v>4</v>
      </c>
      <c r="L28" s="4">
        <f>SUM(Data_Gabungan[[#This Row],[Y1) Jika menerima undangan bergabung sebagai anggota HPFP, saya berniat menerimanya.]:[Y5) Saya berniat merekomendasikan keanggotaan HPFP kepada rekan sejawat saya.]])</f>
        <v>21</v>
      </c>
      <c r="M28" s="4" t="s">
        <v>20</v>
      </c>
      <c r="N28" s="4" t="s">
        <v>43</v>
      </c>
      <c r="O28" s="4" t="s">
        <v>87</v>
      </c>
      <c r="P28" s="4" t="s">
        <v>53</v>
      </c>
      <c r="Q28" s="4" t="s">
        <v>24</v>
      </c>
      <c r="R28" s="4" t="s">
        <v>41</v>
      </c>
    </row>
    <row r="29" spans="1:18" ht="22.5" customHeight="1" x14ac:dyDescent="0.35">
      <c r="A29" s="4">
        <v>1</v>
      </c>
      <c r="B29" s="4" t="s">
        <v>88</v>
      </c>
      <c r="C29" s="4">
        <v>30</v>
      </c>
      <c r="D29" s="4" t="s">
        <v>37</v>
      </c>
      <c r="E29" s="4" t="s">
        <v>38</v>
      </c>
      <c r="F29" s="5">
        <v>1</v>
      </c>
      <c r="G29" s="4">
        <v>4</v>
      </c>
      <c r="H29" s="4">
        <v>4</v>
      </c>
      <c r="I29" s="4">
        <v>4</v>
      </c>
      <c r="J29" s="4">
        <v>5</v>
      </c>
      <c r="K29" s="4">
        <v>5</v>
      </c>
      <c r="L29" s="4">
        <f>SUM(Data_Gabungan[[#This Row],[Y1) Jika menerima undangan bergabung sebagai anggota HPFP, saya berniat menerimanya.]:[Y5) Saya berniat merekomendasikan keanggotaan HPFP kepada rekan sejawat saya.]])</f>
        <v>22</v>
      </c>
      <c r="M29" s="4" t="s">
        <v>20</v>
      </c>
      <c r="N29" s="4" t="s">
        <v>43</v>
      </c>
      <c r="O29" s="4" t="s">
        <v>77</v>
      </c>
      <c r="P29" s="4" t="s">
        <v>40</v>
      </c>
      <c r="Q29" s="4" t="s">
        <v>24</v>
      </c>
      <c r="R29" s="4" t="s">
        <v>41</v>
      </c>
    </row>
    <row r="30" spans="1:18" ht="22.5" customHeight="1" x14ac:dyDescent="0.35">
      <c r="A30" s="4">
        <v>1</v>
      </c>
      <c r="B30" s="4" t="s">
        <v>89</v>
      </c>
      <c r="C30" s="4">
        <v>57</v>
      </c>
      <c r="D30" s="4" t="s">
        <v>18</v>
      </c>
      <c r="E30" s="4" t="s">
        <v>38</v>
      </c>
      <c r="F30" s="5">
        <v>2</v>
      </c>
      <c r="G30" s="4">
        <v>4</v>
      </c>
      <c r="H30" s="4">
        <v>5</v>
      </c>
      <c r="I30" s="4">
        <v>5</v>
      </c>
      <c r="J30" s="4">
        <v>4</v>
      </c>
      <c r="K30" s="4">
        <v>4</v>
      </c>
      <c r="L30" s="4">
        <f>SUM(Data_Gabungan[[#This Row],[Y1) Jika menerima undangan bergabung sebagai anggota HPFP, saya berniat menerimanya.]:[Y5) Saya berniat merekomendasikan keanggotaan HPFP kepada rekan sejawat saya.]])</f>
        <v>22</v>
      </c>
      <c r="M30" s="4" t="s">
        <v>20</v>
      </c>
      <c r="N30" s="4" t="s">
        <v>43</v>
      </c>
      <c r="O30" s="4" t="s">
        <v>90</v>
      </c>
      <c r="P30" s="4" t="s">
        <v>33</v>
      </c>
      <c r="Q30" s="4" t="s">
        <v>24</v>
      </c>
      <c r="R30" s="4" t="s">
        <v>25</v>
      </c>
    </row>
    <row r="31" spans="1:18" ht="22.5" customHeight="1" x14ac:dyDescent="0.35">
      <c r="A31" s="4">
        <v>1</v>
      </c>
      <c r="B31" s="4" t="s">
        <v>91</v>
      </c>
      <c r="C31" s="4">
        <v>34</v>
      </c>
      <c r="D31" s="4" t="s">
        <v>37</v>
      </c>
      <c r="E31" s="4" t="s">
        <v>38</v>
      </c>
      <c r="F31" s="5">
        <v>2</v>
      </c>
      <c r="G31" s="4">
        <v>5</v>
      </c>
      <c r="H31" s="4">
        <v>4</v>
      </c>
      <c r="I31" s="4">
        <v>4</v>
      </c>
      <c r="J31" s="4">
        <v>4</v>
      </c>
      <c r="K31" s="4">
        <v>4</v>
      </c>
      <c r="L31" s="4">
        <f>SUM(Data_Gabungan[[#This Row],[Y1) Jika menerima undangan bergabung sebagai anggota HPFP, saya berniat menerimanya.]:[Y5) Saya berniat merekomendasikan keanggotaan HPFP kepada rekan sejawat saya.]])</f>
        <v>21</v>
      </c>
      <c r="M31" s="4" t="s">
        <v>20</v>
      </c>
      <c r="N31" s="4" t="s">
        <v>21</v>
      </c>
      <c r="O31" s="4" t="s">
        <v>92</v>
      </c>
      <c r="P31" s="4" t="s">
        <v>40</v>
      </c>
      <c r="Q31" s="4" t="s">
        <v>28</v>
      </c>
      <c r="R31" s="4" t="s">
        <v>41</v>
      </c>
    </row>
    <row r="32" spans="1:18" ht="22.5" customHeight="1" x14ac:dyDescent="0.35">
      <c r="A32" s="4">
        <v>1</v>
      </c>
      <c r="B32" s="4" t="s">
        <v>93</v>
      </c>
      <c r="C32" s="4">
        <v>33</v>
      </c>
      <c r="D32" s="4" t="s">
        <v>18</v>
      </c>
      <c r="E32" s="4" t="s">
        <v>38</v>
      </c>
      <c r="F32" s="5">
        <v>1</v>
      </c>
      <c r="G32" s="4">
        <v>5</v>
      </c>
      <c r="H32" s="4">
        <v>5</v>
      </c>
      <c r="I32" s="4">
        <v>5</v>
      </c>
      <c r="J32" s="4">
        <v>4</v>
      </c>
      <c r="K32" s="4">
        <v>5</v>
      </c>
      <c r="L32" s="4">
        <f>SUM(Data_Gabungan[[#This Row],[Y1) Jika menerima undangan bergabung sebagai anggota HPFP, saya berniat menerimanya.]:[Y5) Saya berniat merekomendasikan keanggotaan HPFP kepada rekan sejawat saya.]])</f>
        <v>24</v>
      </c>
      <c r="M32" s="4" t="s">
        <v>20</v>
      </c>
      <c r="N32" s="4" t="s">
        <v>21</v>
      </c>
      <c r="O32" s="4" t="s">
        <v>94</v>
      </c>
      <c r="P32" s="4" t="s">
        <v>40</v>
      </c>
      <c r="Q32" s="4" t="s">
        <v>24</v>
      </c>
      <c r="R32" s="4" t="s">
        <v>41</v>
      </c>
    </row>
    <row r="33" spans="1:18" ht="22.5" customHeight="1" x14ac:dyDescent="0.35">
      <c r="A33" s="4">
        <v>1</v>
      </c>
      <c r="B33" s="4" t="s">
        <v>95</v>
      </c>
      <c r="C33" s="4">
        <v>29</v>
      </c>
      <c r="D33" s="4" t="s">
        <v>37</v>
      </c>
      <c r="E33" s="4" t="s">
        <v>38</v>
      </c>
      <c r="F33" s="5">
        <v>1</v>
      </c>
      <c r="G33" s="4">
        <v>5</v>
      </c>
      <c r="H33" s="4">
        <v>4</v>
      </c>
      <c r="I33" s="4">
        <v>4</v>
      </c>
      <c r="J33" s="4">
        <v>4</v>
      </c>
      <c r="K33" s="4">
        <v>5</v>
      </c>
      <c r="L33" s="4">
        <f>SUM(Data_Gabungan[[#This Row],[Y1) Jika menerima undangan bergabung sebagai anggota HPFP, saya berniat menerimanya.]:[Y5) Saya berniat merekomendasikan keanggotaan HPFP kepada rekan sejawat saya.]])</f>
        <v>22</v>
      </c>
      <c r="M33" s="4" t="s">
        <v>20</v>
      </c>
      <c r="N33" s="4" t="s">
        <v>43</v>
      </c>
      <c r="O33" s="4" t="s">
        <v>81</v>
      </c>
      <c r="P33" s="4" t="s">
        <v>40</v>
      </c>
      <c r="Q33" s="4" t="s">
        <v>24</v>
      </c>
      <c r="R33" s="4" t="s">
        <v>41</v>
      </c>
    </row>
    <row r="34" spans="1:18" ht="22.5" customHeight="1" x14ac:dyDescent="0.35">
      <c r="A34" s="4">
        <v>1</v>
      </c>
      <c r="B34" s="4" t="s">
        <v>96</v>
      </c>
      <c r="C34" s="4">
        <v>42</v>
      </c>
      <c r="D34" s="4" t="s">
        <v>18</v>
      </c>
      <c r="E34" s="4" t="s">
        <v>38</v>
      </c>
      <c r="F34" s="5">
        <v>1</v>
      </c>
      <c r="G34" s="4">
        <v>5</v>
      </c>
      <c r="H34" s="4">
        <v>5</v>
      </c>
      <c r="I34" s="4">
        <v>4</v>
      </c>
      <c r="J34" s="4">
        <v>5</v>
      </c>
      <c r="K34" s="4">
        <v>5</v>
      </c>
      <c r="L34" s="4">
        <f>SUM(Data_Gabungan[[#This Row],[Y1) Jika menerima undangan bergabung sebagai anggota HPFP, saya berniat menerimanya.]:[Y5) Saya berniat merekomendasikan keanggotaan HPFP kepada rekan sejawat saya.]])</f>
        <v>24</v>
      </c>
      <c r="M34" s="4" t="s">
        <v>20</v>
      </c>
      <c r="N34" s="4" t="s">
        <v>43</v>
      </c>
      <c r="O34" s="4" t="s">
        <v>97</v>
      </c>
      <c r="P34" s="4" t="s">
        <v>23</v>
      </c>
      <c r="Q34" s="4" t="s">
        <v>24</v>
      </c>
      <c r="R34" s="4" t="s">
        <v>41</v>
      </c>
    </row>
    <row r="35" spans="1:18" ht="22.5" customHeight="1" x14ac:dyDescent="0.35">
      <c r="A35" s="4">
        <v>1</v>
      </c>
      <c r="B35" s="4" t="s">
        <v>98</v>
      </c>
      <c r="C35" s="4">
        <v>34</v>
      </c>
      <c r="D35" s="4" t="s">
        <v>37</v>
      </c>
      <c r="E35" s="4" t="s">
        <v>38</v>
      </c>
      <c r="F35" s="5">
        <v>2</v>
      </c>
      <c r="G35" s="4">
        <v>5</v>
      </c>
      <c r="H35" s="4">
        <v>4</v>
      </c>
      <c r="I35" s="4">
        <v>4</v>
      </c>
      <c r="J35" s="4">
        <v>5</v>
      </c>
      <c r="K35" s="4">
        <v>4</v>
      </c>
      <c r="L35" s="4">
        <f>SUM(Data_Gabungan[[#This Row],[Y1) Jika menerima undangan bergabung sebagai anggota HPFP, saya berniat menerimanya.]:[Y5) Saya berniat merekomendasikan keanggotaan HPFP kepada rekan sejawat saya.]])</f>
        <v>22</v>
      </c>
      <c r="M35" s="4" t="s">
        <v>20</v>
      </c>
      <c r="N35" s="4" t="s">
        <v>43</v>
      </c>
      <c r="O35" s="4" t="s">
        <v>77</v>
      </c>
      <c r="P35" s="4" t="s">
        <v>23</v>
      </c>
      <c r="Q35" s="4" t="s">
        <v>24</v>
      </c>
      <c r="R35" s="4" t="s">
        <v>41</v>
      </c>
    </row>
    <row r="36" spans="1:18" ht="22.5" customHeight="1" x14ac:dyDescent="0.35">
      <c r="A36" s="4">
        <v>1</v>
      </c>
      <c r="B36" s="4" t="s">
        <v>99</v>
      </c>
      <c r="C36" s="4">
        <v>28</v>
      </c>
      <c r="D36" s="4" t="s">
        <v>18</v>
      </c>
      <c r="E36" s="4" t="s">
        <v>38</v>
      </c>
      <c r="F36" s="5">
        <v>1</v>
      </c>
      <c r="G36" s="4">
        <v>4</v>
      </c>
      <c r="H36" s="4">
        <v>5</v>
      </c>
      <c r="I36" s="4">
        <v>3</v>
      </c>
      <c r="J36" s="4">
        <v>4</v>
      </c>
      <c r="K36" s="4">
        <v>5</v>
      </c>
      <c r="L36" s="4">
        <f>SUM(Data_Gabungan[[#This Row],[Y1) Jika menerima undangan bergabung sebagai anggota HPFP, saya berniat menerimanya.]:[Y5) Saya berniat merekomendasikan keanggotaan HPFP kepada rekan sejawat saya.]])</f>
        <v>21</v>
      </c>
      <c r="M36" s="4" t="s">
        <v>20</v>
      </c>
      <c r="N36" s="4" t="s">
        <v>43</v>
      </c>
      <c r="O36" s="4" t="s">
        <v>81</v>
      </c>
      <c r="P36" s="4" t="s">
        <v>40</v>
      </c>
      <c r="Q36" s="4" t="s">
        <v>24</v>
      </c>
      <c r="R36" s="4" t="s">
        <v>41</v>
      </c>
    </row>
    <row r="37" spans="1:18" ht="22.5" customHeight="1" x14ac:dyDescent="0.35">
      <c r="A37" s="4">
        <v>1</v>
      </c>
      <c r="B37" s="4" t="s">
        <v>100</v>
      </c>
      <c r="C37" s="4">
        <v>41</v>
      </c>
      <c r="D37" s="4" t="s">
        <v>18</v>
      </c>
      <c r="E37" s="4" t="s">
        <v>38</v>
      </c>
      <c r="F37" s="5">
        <v>3</v>
      </c>
      <c r="G37" s="4">
        <v>5</v>
      </c>
      <c r="H37" s="4">
        <v>4</v>
      </c>
      <c r="I37" s="4">
        <v>5</v>
      </c>
      <c r="J37" s="4">
        <v>4</v>
      </c>
      <c r="K37" s="4">
        <v>4</v>
      </c>
      <c r="L37" s="4">
        <f>SUM(Data_Gabungan[[#This Row],[Y1) Jika menerima undangan bergabung sebagai anggota HPFP, saya berniat menerimanya.]:[Y5) Saya berniat merekomendasikan keanggotaan HPFP kepada rekan sejawat saya.]])</f>
        <v>22</v>
      </c>
      <c r="M37" s="4" t="s">
        <v>20</v>
      </c>
      <c r="N37" s="4" t="s">
        <v>21</v>
      </c>
      <c r="O37" s="4" t="s">
        <v>101</v>
      </c>
      <c r="P37" s="4" t="s">
        <v>33</v>
      </c>
      <c r="Q37" s="4" t="s">
        <v>24</v>
      </c>
      <c r="R37" s="4" t="s">
        <v>25</v>
      </c>
    </row>
    <row r="38" spans="1:18" ht="22.5" customHeight="1" x14ac:dyDescent="0.35">
      <c r="A38" s="4">
        <v>1</v>
      </c>
      <c r="B38" s="4" t="s">
        <v>102</v>
      </c>
      <c r="C38" s="4">
        <v>32</v>
      </c>
      <c r="D38" s="4" t="s">
        <v>18</v>
      </c>
      <c r="E38" s="4" t="s">
        <v>38</v>
      </c>
      <c r="F38" s="5">
        <v>1</v>
      </c>
      <c r="G38" s="4">
        <v>4</v>
      </c>
      <c r="H38" s="4">
        <v>4</v>
      </c>
      <c r="I38" s="4">
        <v>4</v>
      </c>
      <c r="J38" s="4">
        <v>4</v>
      </c>
      <c r="K38" s="4">
        <v>4</v>
      </c>
      <c r="L38" s="4">
        <f>SUM(Data_Gabungan[[#This Row],[Y1) Jika menerima undangan bergabung sebagai anggota HPFP, saya berniat menerimanya.]:[Y5) Saya berniat merekomendasikan keanggotaan HPFP kepada rekan sejawat saya.]])</f>
        <v>20</v>
      </c>
      <c r="M38" s="4" t="s">
        <v>20</v>
      </c>
      <c r="N38" s="4" t="s">
        <v>43</v>
      </c>
      <c r="O38" s="4" t="s">
        <v>103</v>
      </c>
      <c r="P38" s="4" t="s">
        <v>40</v>
      </c>
      <c r="Q38" s="4" t="s">
        <v>24</v>
      </c>
      <c r="R38" s="4" t="s">
        <v>41</v>
      </c>
    </row>
    <row r="39" spans="1:18" ht="22.5" customHeight="1" x14ac:dyDescent="0.35">
      <c r="A39" s="4">
        <v>1</v>
      </c>
      <c r="B39" s="4" t="s">
        <v>104</v>
      </c>
      <c r="C39" s="4">
        <v>42</v>
      </c>
      <c r="D39" s="4" t="s">
        <v>18</v>
      </c>
      <c r="E39" s="4" t="s">
        <v>38</v>
      </c>
      <c r="F39" s="5">
        <v>2</v>
      </c>
      <c r="G39" s="4">
        <v>4</v>
      </c>
      <c r="H39" s="4">
        <v>4</v>
      </c>
      <c r="I39" s="4">
        <v>4</v>
      </c>
      <c r="J39" s="4">
        <v>5</v>
      </c>
      <c r="K39" s="4">
        <v>4</v>
      </c>
      <c r="L39" s="4">
        <f>SUM(Data_Gabungan[[#This Row],[Y1) Jika menerima undangan bergabung sebagai anggota HPFP, saya berniat menerimanya.]:[Y5) Saya berniat merekomendasikan keanggotaan HPFP kepada rekan sejawat saya.]])</f>
        <v>21</v>
      </c>
      <c r="M39" s="4" t="s">
        <v>20</v>
      </c>
      <c r="N39" s="4" t="s">
        <v>21</v>
      </c>
      <c r="O39" s="4" t="s">
        <v>105</v>
      </c>
      <c r="P39" s="4" t="s">
        <v>33</v>
      </c>
      <c r="Q39" s="4" t="s">
        <v>24</v>
      </c>
      <c r="R39" s="4" t="s">
        <v>25</v>
      </c>
    </row>
    <row r="40" spans="1:18" ht="22.5" customHeight="1" x14ac:dyDescent="0.35">
      <c r="A40" s="4">
        <v>1</v>
      </c>
      <c r="B40" s="4" t="s">
        <v>106</v>
      </c>
      <c r="C40" s="4">
        <v>31</v>
      </c>
      <c r="D40" s="4" t="s">
        <v>18</v>
      </c>
      <c r="E40" s="4" t="s">
        <v>38</v>
      </c>
      <c r="F40" s="5">
        <v>1</v>
      </c>
      <c r="G40" s="4">
        <v>4</v>
      </c>
      <c r="H40" s="4">
        <v>5</v>
      </c>
      <c r="I40" s="4">
        <v>4</v>
      </c>
      <c r="J40" s="4">
        <v>4</v>
      </c>
      <c r="K40" s="4">
        <v>5</v>
      </c>
      <c r="L40" s="4">
        <f>SUM(Data_Gabungan[[#This Row],[Y1) Jika menerima undangan bergabung sebagai anggota HPFP, saya berniat menerimanya.]:[Y5) Saya berniat merekomendasikan keanggotaan HPFP kepada rekan sejawat saya.]])</f>
        <v>22</v>
      </c>
      <c r="M40" s="4" t="s">
        <v>20</v>
      </c>
      <c r="N40" s="4" t="s">
        <v>21</v>
      </c>
      <c r="O40" s="4" t="s">
        <v>107</v>
      </c>
      <c r="P40" s="4" t="s">
        <v>40</v>
      </c>
      <c r="Q40" s="4" t="s">
        <v>24</v>
      </c>
      <c r="R40" s="4" t="s">
        <v>41</v>
      </c>
    </row>
    <row r="41" spans="1:18" ht="22.5" customHeight="1" x14ac:dyDescent="0.35">
      <c r="A41" s="4">
        <v>1</v>
      </c>
      <c r="B41" s="4" t="s">
        <v>108</v>
      </c>
      <c r="C41" s="4">
        <v>35</v>
      </c>
      <c r="D41" s="4" t="s">
        <v>18</v>
      </c>
      <c r="E41" s="4" t="s">
        <v>38</v>
      </c>
      <c r="F41" s="5">
        <v>2</v>
      </c>
      <c r="G41" s="4">
        <v>5</v>
      </c>
      <c r="H41" s="4">
        <v>4</v>
      </c>
      <c r="I41" s="4">
        <v>5</v>
      </c>
      <c r="J41" s="4">
        <v>4</v>
      </c>
      <c r="K41" s="4">
        <v>5</v>
      </c>
      <c r="L41" s="4">
        <f>SUM(Data_Gabungan[[#This Row],[Y1) Jika menerima undangan bergabung sebagai anggota HPFP, saya berniat menerimanya.]:[Y5) Saya berniat merekomendasikan keanggotaan HPFP kepada rekan sejawat saya.]])</f>
        <v>23</v>
      </c>
      <c r="M41" s="4" t="s">
        <v>20</v>
      </c>
      <c r="N41" s="4" t="s">
        <v>43</v>
      </c>
      <c r="O41" s="4" t="s">
        <v>109</v>
      </c>
      <c r="P41" s="4" t="s">
        <v>40</v>
      </c>
      <c r="Q41" s="4" t="s">
        <v>28</v>
      </c>
      <c r="R41" s="4" t="s">
        <v>41</v>
      </c>
    </row>
    <row r="42" spans="1:18" ht="22.5" customHeight="1" x14ac:dyDescent="0.35">
      <c r="A42" s="4">
        <v>1</v>
      </c>
      <c r="B42" s="4" t="s">
        <v>110</v>
      </c>
      <c r="C42" s="4">
        <v>34</v>
      </c>
      <c r="D42" s="4" t="s">
        <v>18</v>
      </c>
      <c r="E42" s="4" t="s">
        <v>38</v>
      </c>
      <c r="F42" s="5">
        <v>1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f>SUM(Data_Gabungan[[#This Row],[Y1) Jika menerima undangan bergabung sebagai anggota HPFP, saya berniat menerimanya.]:[Y5) Saya berniat merekomendasikan keanggotaan HPFP kepada rekan sejawat saya.]])</f>
        <v>20</v>
      </c>
      <c r="M42" s="4" t="s">
        <v>20</v>
      </c>
      <c r="N42" s="4" t="s">
        <v>43</v>
      </c>
      <c r="O42" s="4" t="s">
        <v>111</v>
      </c>
      <c r="P42" s="4" t="s">
        <v>40</v>
      </c>
      <c r="Q42" s="4" t="s">
        <v>24</v>
      </c>
      <c r="R42" s="4" t="s">
        <v>41</v>
      </c>
    </row>
    <row r="43" spans="1:18" ht="22.5" customHeight="1" x14ac:dyDescent="0.35">
      <c r="A43" s="4">
        <v>1</v>
      </c>
      <c r="B43" s="4" t="s">
        <v>112</v>
      </c>
      <c r="C43" s="4">
        <v>43</v>
      </c>
      <c r="D43" s="4" t="s">
        <v>18</v>
      </c>
      <c r="E43" s="4" t="s">
        <v>38</v>
      </c>
      <c r="F43" s="5">
        <v>2</v>
      </c>
      <c r="G43" s="4">
        <v>5</v>
      </c>
      <c r="H43" s="4">
        <v>4</v>
      </c>
      <c r="I43" s="4">
        <v>4</v>
      </c>
      <c r="J43" s="4">
        <v>5</v>
      </c>
      <c r="K43" s="4">
        <v>4</v>
      </c>
      <c r="L43" s="4">
        <f>SUM(Data_Gabungan[[#This Row],[Y1) Jika menerima undangan bergabung sebagai anggota HPFP, saya berniat menerimanya.]:[Y5) Saya berniat merekomendasikan keanggotaan HPFP kepada rekan sejawat saya.]])</f>
        <v>22</v>
      </c>
      <c r="M43" s="4" t="s">
        <v>20</v>
      </c>
      <c r="N43" s="4" t="s">
        <v>21</v>
      </c>
      <c r="O43" s="4" t="s">
        <v>113</v>
      </c>
      <c r="P43" s="4" t="s">
        <v>23</v>
      </c>
      <c r="Q43" s="4" t="s">
        <v>24</v>
      </c>
      <c r="R43" s="4" t="s">
        <v>25</v>
      </c>
    </row>
    <row r="44" spans="1:18" ht="22.5" customHeight="1" x14ac:dyDescent="0.35">
      <c r="A44" s="4">
        <v>2</v>
      </c>
      <c r="B44" s="4" t="s">
        <v>114</v>
      </c>
      <c r="C44" s="4">
        <v>35</v>
      </c>
      <c r="D44" s="4" t="s">
        <v>18</v>
      </c>
      <c r="E44" s="4" t="s">
        <v>38</v>
      </c>
      <c r="F44" s="5">
        <v>2</v>
      </c>
      <c r="G44" s="4">
        <v>5</v>
      </c>
      <c r="H44" s="4">
        <v>4</v>
      </c>
      <c r="I44" s="4">
        <v>4</v>
      </c>
      <c r="J44" s="4">
        <v>4</v>
      </c>
      <c r="K44" s="4">
        <v>4</v>
      </c>
      <c r="L44" s="4">
        <f>SUM(Data_Gabungan[[#This Row],[Y1) Jika menerima undangan bergabung sebagai anggota HPFP, saya berniat menerimanya.]:[Y5) Saya berniat merekomendasikan keanggotaan HPFP kepada rekan sejawat saya.]])</f>
        <v>21</v>
      </c>
      <c r="M44" s="4" t="s">
        <v>20</v>
      </c>
      <c r="N44" s="4" t="s">
        <v>21</v>
      </c>
      <c r="O44" s="4" t="s">
        <v>115</v>
      </c>
      <c r="P44" s="4" t="s">
        <v>40</v>
      </c>
      <c r="Q44" s="4" t="s">
        <v>24</v>
      </c>
      <c r="R44" s="4" t="s">
        <v>41</v>
      </c>
    </row>
    <row r="45" spans="1:18" ht="22.5" customHeight="1" x14ac:dyDescent="0.35">
      <c r="A45" s="4">
        <v>2</v>
      </c>
      <c r="B45" s="4" t="s">
        <v>116</v>
      </c>
      <c r="C45" s="4">
        <v>41</v>
      </c>
      <c r="D45" s="4" t="s">
        <v>18</v>
      </c>
      <c r="E45" s="4" t="s">
        <v>38</v>
      </c>
      <c r="F45" s="5">
        <v>2</v>
      </c>
      <c r="G45" s="4">
        <v>5</v>
      </c>
      <c r="H45" s="4">
        <v>5</v>
      </c>
      <c r="I45" s="4">
        <v>5</v>
      </c>
      <c r="J45" s="4">
        <v>5</v>
      </c>
      <c r="K45" s="4">
        <v>5</v>
      </c>
      <c r="L45" s="4">
        <f>SUM(Data_Gabungan[[#This Row],[Y1) Jika menerima undangan bergabung sebagai anggota HPFP, saya berniat menerimanya.]:[Y5) Saya berniat merekomendasikan keanggotaan HPFP kepada rekan sejawat saya.]])</f>
        <v>25</v>
      </c>
      <c r="M45" s="4" t="s">
        <v>20</v>
      </c>
      <c r="N45" s="4" t="s">
        <v>21</v>
      </c>
      <c r="O45" s="4" t="s">
        <v>117</v>
      </c>
      <c r="P45" s="4" t="s">
        <v>33</v>
      </c>
      <c r="Q45" s="4" t="s">
        <v>24</v>
      </c>
      <c r="R45" s="4" t="s">
        <v>25</v>
      </c>
    </row>
    <row r="46" spans="1:18" ht="22.5" customHeight="1" x14ac:dyDescent="0.35">
      <c r="A46" s="4">
        <v>2</v>
      </c>
      <c r="B46" s="4" t="s">
        <v>118</v>
      </c>
      <c r="C46" s="4">
        <v>54</v>
      </c>
      <c r="D46" s="4" t="s">
        <v>18</v>
      </c>
      <c r="E46" s="4" t="s">
        <v>19</v>
      </c>
      <c r="F46" s="5">
        <v>1</v>
      </c>
      <c r="G46" s="4">
        <v>5</v>
      </c>
      <c r="H46" s="4">
        <v>5</v>
      </c>
      <c r="I46" s="4">
        <v>5</v>
      </c>
      <c r="J46" s="4">
        <v>5</v>
      </c>
      <c r="K46" s="4">
        <v>5</v>
      </c>
      <c r="L46" s="4">
        <f>SUM(Data_Gabungan[[#This Row],[Y1) Jika menerima undangan bergabung sebagai anggota HPFP, saya berniat menerimanya.]:[Y5) Saya berniat merekomendasikan keanggotaan HPFP kepada rekan sejawat saya.]])</f>
        <v>25</v>
      </c>
      <c r="M46" s="4" t="s">
        <v>20</v>
      </c>
      <c r="N46" s="4" t="s">
        <v>21</v>
      </c>
      <c r="O46" s="4" t="s">
        <v>119</v>
      </c>
      <c r="P46" s="4" t="s">
        <v>33</v>
      </c>
      <c r="Q46" s="4" t="s">
        <v>28</v>
      </c>
      <c r="R46" s="4" t="s">
        <v>47</v>
      </c>
    </row>
    <row r="47" spans="1:18" ht="22.5" customHeight="1" x14ac:dyDescent="0.35">
      <c r="A47" s="4">
        <v>2</v>
      </c>
      <c r="B47" s="4" t="s">
        <v>120</v>
      </c>
      <c r="C47" s="4">
        <v>36</v>
      </c>
      <c r="D47" s="4" t="s">
        <v>37</v>
      </c>
      <c r="E47" s="4" t="s">
        <v>38</v>
      </c>
      <c r="F47" s="5">
        <v>4</v>
      </c>
      <c r="G47" s="4">
        <v>5</v>
      </c>
      <c r="H47" s="4">
        <v>5</v>
      </c>
      <c r="I47" s="4">
        <v>5</v>
      </c>
      <c r="J47" s="4">
        <v>5</v>
      </c>
      <c r="K47" s="4">
        <v>5</v>
      </c>
      <c r="L47" s="4">
        <f>SUM(Data_Gabungan[[#This Row],[Y1) Jika menerima undangan bergabung sebagai anggota HPFP, saya berniat menerimanya.]:[Y5) Saya berniat merekomendasikan keanggotaan HPFP kepada rekan sejawat saya.]])</f>
        <v>25</v>
      </c>
      <c r="M47" s="4" t="s">
        <v>20</v>
      </c>
      <c r="N47" s="4" t="s">
        <v>21</v>
      </c>
      <c r="O47" s="4" t="s">
        <v>121</v>
      </c>
      <c r="P47" s="4" t="s">
        <v>40</v>
      </c>
      <c r="Q47" s="4" t="s">
        <v>24</v>
      </c>
      <c r="R47" s="4" t="s">
        <v>41</v>
      </c>
    </row>
    <row r="48" spans="1:18" ht="22.5" customHeight="1" x14ac:dyDescent="0.35">
      <c r="A48" s="4">
        <v>2</v>
      </c>
      <c r="B48" s="4" t="s">
        <v>122</v>
      </c>
      <c r="C48" s="4">
        <v>32</v>
      </c>
      <c r="D48" s="4" t="s">
        <v>18</v>
      </c>
      <c r="E48" s="4" t="s">
        <v>38</v>
      </c>
      <c r="F48" s="5">
        <v>1</v>
      </c>
      <c r="G48" s="4">
        <v>5</v>
      </c>
      <c r="H48" s="4">
        <v>4</v>
      </c>
      <c r="I48" s="4">
        <v>4</v>
      </c>
      <c r="J48" s="4">
        <v>4</v>
      </c>
      <c r="K48" s="4">
        <v>4</v>
      </c>
      <c r="L48" s="4">
        <f>SUM(Data_Gabungan[[#This Row],[Y1) Jika menerima undangan bergabung sebagai anggota HPFP, saya berniat menerimanya.]:[Y5) Saya berniat merekomendasikan keanggotaan HPFP kepada rekan sejawat saya.]])</f>
        <v>21</v>
      </c>
      <c r="M48" s="4" t="s">
        <v>20</v>
      </c>
      <c r="N48" s="4" t="s">
        <v>21</v>
      </c>
      <c r="O48" s="4" t="s">
        <v>123</v>
      </c>
      <c r="P48" s="4" t="s">
        <v>53</v>
      </c>
      <c r="Q48" s="4" t="s">
        <v>124</v>
      </c>
      <c r="R48" s="4" t="s">
        <v>125</v>
      </c>
    </row>
    <row r="49" spans="1:18" ht="22.5" customHeight="1" x14ac:dyDescent="0.35">
      <c r="A49" s="4">
        <v>2</v>
      </c>
      <c r="B49" s="4" t="s">
        <v>126</v>
      </c>
      <c r="C49" s="4">
        <v>32</v>
      </c>
      <c r="D49" s="4" t="s">
        <v>18</v>
      </c>
      <c r="E49" s="4" t="s">
        <v>38</v>
      </c>
      <c r="F49" s="5">
        <v>4</v>
      </c>
      <c r="G49" s="4">
        <v>5</v>
      </c>
      <c r="H49" s="4">
        <v>4</v>
      </c>
      <c r="I49" s="4">
        <v>4</v>
      </c>
      <c r="J49" s="4">
        <v>5</v>
      </c>
      <c r="K49" s="4">
        <v>5</v>
      </c>
      <c r="L49" s="4">
        <f>SUM(Data_Gabungan[[#This Row],[Y1) Jika menerima undangan bergabung sebagai anggota HPFP, saya berniat menerimanya.]:[Y5) Saya berniat merekomendasikan keanggotaan HPFP kepada rekan sejawat saya.]])</f>
        <v>23</v>
      </c>
      <c r="M49" s="4" t="s">
        <v>20</v>
      </c>
      <c r="N49" s="4" t="s">
        <v>43</v>
      </c>
      <c r="O49" s="4" t="s">
        <v>127</v>
      </c>
      <c r="P49" s="4" t="s">
        <v>40</v>
      </c>
      <c r="Q49" s="4" t="s">
        <v>24</v>
      </c>
      <c r="R49" s="4" t="s">
        <v>41</v>
      </c>
    </row>
    <row r="50" spans="1:18" ht="22.5" customHeight="1" x14ac:dyDescent="0.35">
      <c r="A50" s="4">
        <v>2</v>
      </c>
      <c r="B50" s="4" t="s">
        <v>128</v>
      </c>
      <c r="C50" s="4">
        <v>31</v>
      </c>
      <c r="D50" s="4" t="s">
        <v>37</v>
      </c>
      <c r="E50" s="4" t="s">
        <v>38</v>
      </c>
      <c r="F50" s="5">
        <v>1</v>
      </c>
      <c r="G50" s="4">
        <v>5</v>
      </c>
      <c r="H50" s="4">
        <v>4</v>
      </c>
      <c r="I50" s="4">
        <v>3</v>
      </c>
      <c r="J50" s="4">
        <v>5</v>
      </c>
      <c r="K50" s="4">
        <v>3</v>
      </c>
      <c r="L50" s="4">
        <f>SUM(Data_Gabungan[[#This Row],[Y1) Jika menerima undangan bergabung sebagai anggota HPFP, saya berniat menerimanya.]:[Y5) Saya berniat merekomendasikan keanggotaan HPFP kepada rekan sejawat saya.]])</f>
        <v>20</v>
      </c>
      <c r="M50" s="4" t="s">
        <v>20</v>
      </c>
      <c r="N50" s="4" t="s">
        <v>43</v>
      </c>
      <c r="O50" s="4" t="s">
        <v>129</v>
      </c>
      <c r="P50" s="4" t="s">
        <v>40</v>
      </c>
      <c r="Q50" s="4" t="s">
        <v>24</v>
      </c>
      <c r="R50" s="4" t="s">
        <v>41</v>
      </c>
    </row>
    <row r="51" spans="1:18" ht="22.5" customHeight="1" x14ac:dyDescent="0.35">
      <c r="A51" s="4">
        <v>2</v>
      </c>
      <c r="B51" s="4" t="s">
        <v>130</v>
      </c>
      <c r="C51" s="4">
        <v>30</v>
      </c>
      <c r="D51" s="4" t="s">
        <v>18</v>
      </c>
      <c r="E51" s="4" t="s">
        <v>19</v>
      </c>
      <c r="F51" s="5">
        <v>2</v>
      </c>
      <c r="G51" s="4">
        <v>3</v>
      </c>
      <c r="H51" s="4">
        <v>2</v>
      </c>
      <c r="I51" s="4">
        <v>2</v>
      </c>
      <c r="J51" s="4">
        <v>3</v>
      </c>
      <c r="K51" s="4">
        <v>3</v>
      </c>
      <c r="L51" s="4">
        <f>SUM(Data_Gabungan[[#This Row],[Y1) Jika menerima undangan bergabung sebagai anggota HPFP, saya berniat menerimanya.]:[Y5) Saya berniat merekomendasikan keanggotaan HPFP kepada rekan sejawat saya.]])</f>
        <v>13</v>
      </c>
      <c r="M51" s="4" t="s">
        <v>20</v>
      </c>
      <c r="N51" s="4" t="s">
        <v>21</v>
      </c>
      <c r="O51" s="4" t="s">
        <v>131</v>
      </c>
      <c r="P51" s="4" t="s">
        <v>40</v>
      </c>
      <c r="Q51" s="4" t="s">
        <v>24</v>
      </c>
      <c r="R51" s="4" t="s">
        <v>41</v>
      </c>
    </row>
    <row r="52" spans="1:18" ht="22.5" customHeight="1" x14ac:dyDescent="0.35">
      <c r="A52" s="4">
        <v>2</v>
      </c>
      <c r="B52" s="4" t="s">
        <v>132</v>
      </c>
      <c r="C52" s="4">
        <v>52</v>
      </c>
      <c r="D52" s="4" t="s">
        <v>18</v>
      </c>
      <c r="E52" s="4" t="s">
        <v>38</v>
      </c>
      <c r="F52" s="5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f>SUM(Data_Gabungan[[#This Row],[Y1) Jika menerima undangan bergabung sebagai anggota HPFP, saya berniat menerimanya.]:[Y5) Saya berniat merekomendasikan keanggotaan HPFP kepada rekan sejawat saya.]])</f>
        <v>5</v>
      </c>
      <c r="M52" s="4" t="s">
        <v>20</v>
      </c>
      <c r="N52" s="4" t="s">
        <v>133</v>
      </c>
      <c r="O52" s="4" t="s">
        <v>134</v>
      </c>
      <c r="P52" s="4" t="s">
        <v>40</v>
      </c>
      <c r="Q52" s="4" t="s">
        <v>24</v>
      </c>
      <c r="R52" s="4" t="s">
        <v>25</v>
      </c>
    </row>
    <row r="53" spans="1:18" ht="22.5" customHeight="1" x14ac:dyDescent="0.35">
      <c r="A53" s="4">
        <v>2</v>
      </c>
      <c r="B53" s="4" t="s">
        <v>135</v>
      </c>
      <c r="C53" s="4">
        <v>24</v>
      </c>
      <c r="D53" s="4" t="s">
        <v>37</v>
      </c>
      <c r="E53" s="4" t="s">
        <v>38</v>
      </c>
      <c r="F53" s="5">
        <v>1</v>
      </c>
      <c r="G53" s="4">
        <v>4</v>
      </c>
      <c r="H53" s="4">
        <v>4</v>
      </c>
      <c r="I53" s="4">
        <v>4</v>
      </c>
      <c r="J53" s="4">
        <v>5</v>
      </c>
      <c r="K53" s="4">
        <v>4</v>
      </c>
      <c r="L53" s="4">
        <f>SUM(Data_Gabungan[[#This Row],[Y1) Jika menerima undangan bergabung sebagai anggota HPFP, saya berniat menerimanya.]:[Y5) Saya berniat merekomendasikan keanggotaan HPFP kepada rekan sejawat saya.]])</f>
        <v>21</v>
      </c>
      <c r="M53" s="4" t="s">
        <v>20</v>
      </c>
      <c r="N53" s="4" t="s">
        <v>21</v>
      </c>
      <c r="O53" s="4" t="s">
        <v>136</v>
      </c>
      <c r="P53" s="4" t="s">
        <v>137</v>
      </c>
      <c r="Q53" s="4" t="s">
        <v>24</v>
      </c>
      <c r="R53" s="4" t="s">
        <v>41</v>
      </c>
    </row>
    <row r="54" spans="1:18" ht="22.5" customHeight="1" x14ac:dyDescent="0.35">
      <c r="A54" s="4">
        <v>2</v>
      </c>
      <c r="B54" s="4" t="s">
        <v>138</v>
      </c>
      <c r="C54" s="4">
        <v>44</v>
      </c>
      <c r="D54" s="4" t="s">
        <v>37</v>
      </c>
      <c r="E54" s="4" t="s">
        <v>19</v>
      </c>
      <c r="F54" s="5">
        <v>2</v>
      </c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4">
        <f>SUM(Data_Gabungan[[#This Row],[Y1) Jika menerima undangan bergabung sebagai anggota HPFP, saya berniat menerimanya.]:[Y5) Saya berniat merekomendasikan keanggotaan HPFP kepada rekan sejawat saya.]])</f>
        <v>20</v>
      </c>
      <c r="M54" s="4" t="s">
        <v>20</v>
      </c>
      <c r="N54" s="4" t="s">
        <v>43</v>
      </c>
      <c r="O54" s="4" t="s">
        <v>139</v>
      </c>
      <c r="P54" s="4" t="s">
        <v>33</v>
      </c>
      <c r="Q54" s="4" t="s">
        <v>24</v>
      </c>
      <c r="R54" s="4" t="s">
        <v>47</v>
      </c>
    </row>
    <row r="55" spans="1:18" ht="22.5" customHeight="1" x14ac:dyDescent="0.35">
      <c r="A55" s="4">
        <v>2</v>
      </c>
      <c r="B55" s="4" t="s">
        <v>140</v>
      </c>
      <c r="C55" s="4">
        <v>37</v>
      </c>
      <c r="D55" s="4" t="s">
        <v>37</v>
      </c>
      <c r="E55" s="4" t="s">
        <v>19</v>
      </c>
      <c r="F55" s="5">
        <v>2</v>
      </c>
      <c r="G55" s="4">
        <v>5</v>
      </c>
      <c r="H55" s="4">
        <v>4</v>
      </c>
      <c r="I55" s="4">
        <v>4</v>
      </c>
      <c r="J55" s="4">
        <v>3</v>
      </c>
      <c r="K55" s="4">
        <v>5</v>
      </c>
      <c r="L55" s="4">
        <f>SUM(Data_Gabungan[[#This Row],[Y1) Jika menerima undangan bergabung sebagai anggota HPFP, saya berniat menerimanya.]:[Y5) Saya berniat merekomendasikan keanggotaan HPFP kepada rekan sejawat saya.]])</f>
        <v>21</v>
      </c>
      <c r="M55" s="4" t="s">
        <v>20</v>
      </c>
      <c r="N55" s="4" t="s">
        <v>43</v>
      </c>
      <c r="O55" s="4" t="s">
        <v>141</v>
      </c>
      <c r="P55" s="4" t="s">
        <v>53</v>
      </c>
      <c r="Q55" s="4" t="s">
        <v>24</v>
      </c>
      <c r="R55" s="4" t="s">
        <v>25</v>
      </c>
    </row>
    <row r="56" spans="1:18" ht="22.5" customHeight="1" x14ac:dyDescent="0.35">
      <c r="A56" s="4">
        <v>2</v>
      </c>
      <c r="B56" s="4" t="s">
        <v>142</v>
      </c>
      <c r="C56" s="4">
        <v>46</v>
      </c>
      <c r="D56" s="4" t="s">
        <v>18</v>
      </c>
      <c r="E56" s="4" t="s">
        <v>19</v>
      </c>
      <c r="F56" s="5">
        <v>1</v>
      </c>
      <c r="G56" s="4">
        <v>4</v>
      </c>
      <c r="H56" s="4">
        <v>4</v>
      </c>
      <c r="I56" s="4">
        <v>4</v>
      </c>
      <c r="J56" s="4">
        <v>4</v>
      </c>
      <c r="K56" s="4">
        <v>4</v>
      </c>
      <c r="L56" s="4">
        <f>SUM(Data_Gabungan[[#This Row],[Y1) Jika menerima undangan bergabung sebagai anggota HPFP, saya berniat menerimanya.]:[Y5) Saya berniat merekomendasikan keanggotaan HPFP kepada rekan sejawat saya.]])</f>
        <v>20</v>
      </c>
      <c r="M56" s="4" t="s">
        <v>20</v>
      </c>
      <c r="N56" s="4" t="s">
        <v>21</v>
      </c>
      <c r="O56" s="4" t="s">
        <v>143</v>
      </c>
      <c r="P56" s="4" t="s">
        <v>33</v>
      </c>
      <c r="Q56" s="4" t="s">
        <v>24</v>
      </c>
      <c r="R56" s="4" t="s">
        <v>25</v>
      </c>
    </row>
    <row r="57" spans="1:18" ht="22.5" customHeight="1" x14ac:dyDescent="0.35">
      <c r="A57" s="4">
        <v>2</v>
      </c>
      <c r="B57" s="4" t="s">
        <v>144</v>
      </c>
      <c r="C57" s="4">
        <v>32</v>
      </c>
      <c r="D57" s="4" t="s">
        <v>18</v>
      </c>
      <c r="E57" s="4" t="s">
        <v>38</v>
      </c>
      <c r="F57" s="5">
        <v>3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f>SUM(Data_Gabungan[[#This Row],[Y1) Jika menerima undangan bergabung sebagai anggota HPFP, saya berniat menerimanya.]:[Y5) Saya berniat merekomendasikan keanggotaan HPFP kepada rekan sejawat saya.]])</f>
        <v>15</v>
      </c>
      <c r="M57" s="4" t="s">
        <v>20</v>
      </c>
      <c r="N57" s="4" t="s">
        <v>21</v>
      </c>
      <c r="O57" s="4" t="s">
        <v>145</v>
      </c>
      <c r="P57" s="4" t="s">
        <v>40</v>
      </c>
      <c r="Q57" s="4" t="s">
        <v>24</v>
      </c>
      <c r="R57" s="4" t="s">
        <v>41</v>
      </c>
    </row>
    <row r="58" spans="1:18" ht="22.5" customHeight="1" x14ac:dyDescent="0.35">
      <c r="A58" s="4">
        <v>2</v>
      </c>
      <c r="B58" s="4" t="s">
        <v>146</v>
      </c>
      <c r="C58" s="4">
        <v>48</v>
      </c>
      <c r="D58" s="4" t="s">
        <v>18</v>
      </c>
      <c r="E58" s="4" t="s">
        <v>38</v>
      </c>
      <c r="F58" s="5">
        <v>2</v>
      </c>
      <c r="G58" s="4">
        <v>5</v>
      </c>
      <c r="H58" s="4">
        <v>5</v>
      </c>
      <c r="I58" s="4">
        <v>5</v>
      </c>
      <c r="J58" s="4">
        <v>3</v>
      </c>
      <c r="K58" s="4">
        <v>5</v>
      </c>
      <c r="L58" s="4">
        <f>SUM(Data_Gabungan[[#This Row],[Y1) Jika menerima undangan bergabung sebagai anggota HPFP, saya berniat menerimanya.]:[Y5) Saya berniat merekomendasikan keanggotaan HPFP kepada rekan sejawat saya.]])</f>
        <v>23</v>
      </c>
      <c r="M58" s="4" t="s">
        <v>20</v>
      </c>
      <c r="N58" s="4" t="s">
        <v>43</v>
      </c>
      <c r="O58" s="4" t="s">
        <v>147</v>
      </c>
      <c r="P58" s="4" t="s">
        <v>33</v>
      </c>
      <c r="Q58" s="4" t="s">
        <v>24</v>
      </c>
      <c r="R58" s="4" t="s">
        <v>25</v>
      </c>
    </row>
    <row r="59" spans="1:18" ht="22.5" customHeight="1" x14ac:dyDescent="0.35">
      <c r="A59" s="4">
        <v>2</v>
      </c>
      <c r="B59" s="4" t="s">
        <v>148</v>
      </c>
      <c r="C59" s="4">
        <v>37</v>
      </c>
      <c r="D59" s="4" t="s">
        <v>37</v>
      </c>
      <c r="E59" s="4" t="s">
        <v>38</v>
      </c>
      <c r="F59" s="5">
        <v>1</v>
      </c>
      <c r="G59" s="4">
        <v>4</v>
      </c>
      <c r="H59" s="4">
        <v>3</v>
      </c>
      <c r="I59" s="4">
        <v>4</v>
      </c>
      <c r="J59" s="4">
        <v>5</v>
      </c>
      <c r="K59" s="4">
        <v>5</v>
      </c>
      <c r="L59" s="4">
        <f>SUM(Data_Gabungan[[#This Row],[Y1) Jika menerima undangan bergabung sebagai anggota HPFP, saya berniat menerimanya.]:[Y5) Saya berniat merekomendasikan keanggotaan HPFP kepada rekan sejawat saya.]])</f>
        <v>21</v>
      </c>
      <c r="M59" s="4" t="s">
        <v>20</v>
      </c>
      <c r="N59" s="4" t="s">
        <v>21</v>
      </c>
      <c r="O59" s="4" t="s">
        <v>149</v>
      </c>
      <c r="P59" s="4" t="s">
        <v>40</v>
      </c>
      <c r="Q59" s="4" t="s">
        <v>24</v>
      </c>
      <c r="R59" s="4" t="s">
        <v>41</v>
      </c>
    </row>
    <row r="60" spans="1:18" ht="22.5" customHeight="1" x14ac:dyDescent="0.35">
      <c r="A60" s="4">
        <v>2</v>
      </c>
      <c r="B60" s="4" t="s">
        <v>150</v>
      </c>
      <c r="C60" s="4">
        <v>31</v>
      </c>
      <c r="D60" s="4" t="s">
        <v>18</v>
      </c>
      <c r="E60" s="4" t="s">
        <v>38</v>
      </c>
      <c r="F60" s="5">
        <v>1</v>
      </c>
      <c r="G60" s="4">
        <v>3</v>
      </c>
      <c r="H60" s="4">
        <v>4</v>
      </c>
      <c r="I60" s="4">
        <v>4</v>
      </c>
      <c r="J60" s="4">
        <v>5</v>
      </c>
      <c r="K60" s="4">
        <v>5</v>
      </c>
      <c r="L60" s="4">
        <f>SUM(Data_Gabungan[[#This Row],[Y1) Jika menerima undangan bergabung sebagai anggota HPFP, saya berniat menerimanya.]:[Y5) Saya berniat merekomendasikan keanggotaan HPFP kepada rekan sejawat saya.]])</f>
        <v>21</v>
      </c>
      <c r="M60" s="4" t="s">
        <v>51</v>
      </c>
      <c r="N60" s="4" t="s">
        <v>43</v>
      </c>
      <c r="O60" s="4" t="s">
        <v>151</v>
      </c>
      <c r="P60" s="4" t="s">
        <v>53</v>
      </c>
      <c r="Q60" s="4" t="s">
        <v>28</v>
      </c>
      <c r="R60" s="4" t="s">
        <v>25</v>
      </c>
    </row>
    <row r="61" spans="1:18" ht="22.5" customHeight="1" x14ac:dyDescent="0.35">
      <c r="A61" s="4">
        <v>2</v>
      </c>
      <c r="B61" s="4" t="s">
        <v>152</v>
      </c>
      <c r="C61" s="4">
        <v>47</v>
      </c>
      <c r="D61" s="4" t="s">
        <v>18</v>
      </c>
      <c r="E61" s="4" t="s">
        <v>19</v>
      </c>
      <c r="F61" s="5">
        <v>1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f>SUM(Data_Gabungan[[#This Row],[Y1) Jika menerima undangan bergabung sebagai anggota HPFP, saya berniat menerimanya.]:[Y5) Saya berniat merekomendasikan keanggotaan HPFP kepada rekan sejawat saya.]])</f>
        <v>20</v>
      </c>
      <c r="M61" s="4" t="s">
        <v>20</v>
      </c>
      <c r="N61" s="4" t="s">
        <v>43</v>
      </c>
      <c r="O61" s="4" t="s">
        <v>153</v>
      </c>
      <c r="P61" s="4" t="s">
        <v>23</v>
      </c>
      <c r="Q61" s="4" t="s">
        <v>24</v>
      </c>
      <c r="R61" s="4" t="s">
        <v>41</v>
      </c>
    </row>
    <row r="62" spans="1:18" ht="22.5" customHeight="1" x14ac:dyDescent="0.35">
      <c r="A62" s="4">
        <v>2</v>
      </c>
      <c r="B62" s="4" t="s">
        <v>154</v>
      </c>
      <c r="C62" s="4">
        <v>40</v>
      </c>
      <c r="D62" s="4" t="s">
        <v>18</v>
      </c>
      <c r="E62" s="4" t="s">
        <v>38</v>
      </c>
      <c r="F62" s="5">
        <v>1</v>
      </c>
      <c r="G62" s="4">
        <v>4</v>
      </c>
      <c r="H62" s="4">
        <v>3</v>
      </c>
      <c r="I62" s="4">
        <v>4</v>
      </c>
      <c r="J62" s="4">
        <v>5</v>
      </c>
      <c r="K62" s="4">
        <v>5</v>
      </c>
      <c r="L62" s="4">
        <f>SUM(Data_Gabungan[[#This Row],[Y1) Jika menerima undangan bergabung sebagai anggota HPFP, saya berniat menerimanya.]:[Y5) Saya berniat merekomendasikan keanggotaan HPFP kepada rekan sejawat saya.]])</f>
        <v>21</v>
      </c>
      <c r="M62" s="4" t="s">
        <v>51</v>
      </c>
      <c r="N62" s="4" t="s">
        <v>43</v>
      </c>
      <c r="O62" s="4" t="s">
        <v>83</v>
      </c>
      <c r="P62" s="4" t="s">
        <v>53</v>
      </c>
      <c r="Q62" s="4" t="s">
        <v>24</v>
      </c>
      <c r="R62" s="4" t="s">
        <v>41</v>
      </c>
    </row>
    <row r="63" spans="1:18" ht="22.5" customHeight="1" x14ac:dyDescent="0.35">
      <c r="A63" s="4">
        <v>2</v>
      </c>
      <c r="B63" s="4" t="s">
        <v>155</v>
      </c>
      <c r="C63" s="4">
        <v>34</v>
      </c>
      <c r="D63" s="4" t="s">
        <v>18</v>
      </c>
      <c r="E63" s="4" t="s">
        <v>38</v>
      </c>
      <c r="F63" s="5">
        <v>1</v>
      </c>
      <c r="G63" s="4">
        <v>4</v>
      </c>
      <c r="H63" s="4">
        <v>3</v>
      </c>
      <c r="I63" s="4">
        <v>4</v>
      </c>
      <c r="J63" s="4">
        <v>5</v>
      </c>
      <c r="K63" s="4">
        <v>4</v>
      </c>
      <c r="L63" s="4">
        <f>SUM(Data_Gabungan[[#This Row],[Y1) Jika menerima undangan bergabung sebagai anggota HPFP, saya berniat menerimanya.]:[Y5) Saya berniat merekomendasikan keanggotaan HPFP kepada rekan sejawat saya.]])</f>
        <v>20</v>
      </c>
      <c r="M63" s="4" t="s">
        <v>51</v>
      </c>
      <c r="N63" s="4" t="s">
        <v>43</v>
      </c>
      <c r="O63" s="4" t="s">
        <v>67</v>
      </c>
      <c r="P63" s="4" t="s">
        <v>53</v>
      </c>
      <c r="Q63" s="4" t="s">
        <v>28</v>
      </c>
      <c r="R63" s="4" t="s">
        <v>25</v>
      </c>
    </row>
    <row r="64" spans="1:18" ht="22.5" customHeight="1" x14ac:dyDescent="0.35">
      <c r="A64" s="4">
        <v>2</v>
      </c>
      <c r="B64" s="4" t="s">
        <v>156</v>
      </c>
      <c r="C64" s="4">
        <v>29</v>
      </c>
      <c r="D64" s="4" t="s">
        <v>18</v>
      </c>
      <c r="E64" s="4" t="s">
        <v>38</v>
      </c>
      <c r="F64" s="5">
        <v>1</v>
      </c>
      <c r="G64" s="4">
        <v>4</v>
      </c>
      <c r="H64" s="4">
        <v>4</v>
      </c>
      <c r="I64" s="4">
        <v>5</v>
      </c>
      <c r="J64" s="4">
        <v>5</v>
      </c>
      <c r="K64" s="4">
        <v>4</v>
      </c>
      <c r="L64" s="4">
        <f>SUM(Data_Gabungan[[#This Row],[Y1) Jika menerima undangan bergabung sebagai anggota HPFP, saya berniat menerimanya.]:[Y5) Saya berniat merekomendasikan keanggotaan HPFP kepada rekan sejawat saya.]])</f>
        <v>22</v>
      </c>
      <c r="M64" s="4" t="s">
        <v>20</v>
      </c>
      <c r="N64" s="4" t="s">
        <v>43</v>
      </c>
      <c r="O64" s="4" t="s">
        <v>67</v>
      </c>
      <c r="P64" s="4" t="s">
        <v>53</v>
      </c>
      <c r="Q64" s="4" t="s">
        <v>28</v>
      </c>
      <c r="R64" s="4" t="s">
        <v>41</v>
      </c>
    </row>
    <row r="65" spans="1:18" ht="22.5" customHeight="1" x14ac:dyDescent="0.35">
      <c r="A65" s="4">
        <v>2</v>
      </c>
      <c r="B65" s="4" t="s">
        <v>157</v>
      </c>
      <c r="C65" s="4">
        <v>29</v>
      </c>
      <c r="D65" s="4" t="s">
        <v>18</v>
      </c>
      <c r="E65" s="4" t="s">
        <v>38</v>
      </c>
      <c r="F65" s="5">
        <v>1</v>
      </c>
      <c r="G65" s="4">
        <v>3</v>
      </c>
      <c r="H65" s="4">
        <v>3</v>
      </c>
      <c r="I65" s="4">
        <v>4</v>
      </c>
      <c r="J65" s="4">
        <v>5</v>
      </c>
      <c r="K65" s="4">
        <v>4</v>
      </c>
      <c r="L65" s="4">
        <f>SUM(Data_Gabungan[[#This Row],[Y1) Jika menerima undangan bergabung sebagai anggota HPFP, saya berniat menerimanya.]:[Y5) Saya berniat merekomendasikan keanggotaan HPFP kepada rekan sejawat saya.]])</f>
        <v>19</v>
      </c>
      <c r="M65" s="4" t="s">
        <v>20</v>
      </c>
      <c r="N65" s="4" t="s">
        <v>43</v>
      </c>
      <c r="O65" s="4" t="s">
        <v>77</v>
      </c>
      <c r="P65" s="4" t="s">
        <v>53</v>
      </c>
      <c r="Q65" s="4" t="s">
        <v>24</v>
      </c>
      <c r="R65" s="4" t="s">
        <v>41</v>
      </c>
    </row>
    <row r="66" spans="1:18" ht="22.5" customHeight="1" x14ac:dyDescent="0.35">
      <c r="A66" s="4">
        <v>2</v>
      </c>
      <c r="B66" s="4" t="s">
        <v>158</v>
      </c>
      <c r="C66" s="4">
        <v>34</v>
      </c>
      <c r="D66" s="4" t="s">
        <v>18</v>
      </c>
      <c r="E66" s="4" t="s">
        <v>38</v>
      </c>
      <c r="F66" s="5">
        <v>2</v>
      </c>
      <c r="G66" s="4">
        <v>4</v>
      </c>
      <c r="H66" s="4">
        <v>3</v>
      </c>
      <c r="I66" s="4">
        <v>4</v>
      </c>
      <c r="J66" s="4">
        <v>5</v>
      </c>
      <c r="K66" s="4">
        <v>5</v>
      </c>
      <c r="L66" s="4">
        <f>SUM(Data_Gabungan[[#This Row],[Y1) Jika menerima undangan bergabung sebagai anggota HPFP, saya berniat menerimanya.]:[Y5) Saya berniat merekomendasikan keanggotaan HPFP kepada rekan sejawat saya.]])</f>
        <v>21</v>
      </c>
      <c r="M66" s="4" t="s">
        <v>20</v>
      </c>
      <c r="N66" s="4" t="s">
        <v>43</v>
      </c>
      <c r="O66" s="4" t="s">
        <v>71</v>
      </c>
      <c r="P66" s="4" t="s">
        <v>40</v>
      </c>
      <c r="Q66" s="4" t="s">
        <v>24</v>
      </c>
      <c r="R66" s="4" t="s">
        <v>41</v>
      </c>
    </row>
    <row r="67" spans="1:18" ht="22.5" customHeight="1" x14ac:dyDescent="0.35">
      <c r="A67" s="4">
        <v>2</v>
      </c>
      <c r="B67" s="4" t="s">
        <v>159</v>
      </c>
      <c r="C67" s="4">
        <v>31</v>
      </c>
      <c r="D67" s="4" t="s">
        <v>37</v>
      </c>
      <c r="E67" s="4" t="s">
        <v>38</v>
      </c>
      <c r="F67" s="5">
        <v>1</v>
      </c>
      <c r="G67" s="4">
        <v>4</v>
      </c>
      <c r="H67" s="4">
        <v>4</v>
      </c>
      <c r="I67" s="4">
        <v>3</v>
      </c>
      <c r="J67" s="4">
        <v>4</v>
      </c>
      <c r="K67" s="4">
        <v>4</v>
      </c>
      <c r="L67" s="4">
        <f>SUM(Data_Gabungan[[#This Row],[Y1) Jika menerima undangan bergabung sebagai anggota HPFP, saya berniat menerimanya.]:[Y5) Saya berniat merekomendasikan keanggotaan HPFP kepada rekan sejawat saya.]])</f>
        <v>19</v>
      </c>
      <c r="M67" s="4" t="s">
        <v>51</v>
      </c>
      <c r="N67" s="4" t="s">
        <v>43</v>
      </c>
      <c r="O67" s="4" t="s">
        <v>160</v>
      </c>
      <c r="P67" s="4" t="s">
        <v>53</v>
      </c>
      <c r="Q67" s="4" t="s">
        <v>28</v>
      </c>
      <c r="R67" s="4" t="s">
        <v>41</v>
      </c>
    </row>
    <row r="68" spans="1:18" ht="22.5" customHeight="1" x14ac:dyDescent="0.35">
      <c r="A68" s="4">
        <v>2</v>
      </c>
      <c r="B68" s="4" t="s">
        <v>161</v>
      </c>
      <c r="C68" s="4">
        <v>59</v>
      </c>
      <c r="D68" s="4" t="s">
        <v>18</v>
      </c>
      <c r="E68" s="4" t="s">
        <v>162</v>
      </c>
      <c r="F68" s="5">
        <v>1</v>
      </c>
      <c r="G68" s="4">
        <v>4</v>
      </c>
      <c r="H68" s="4">
        <v>4</v>
      </c>
      <c r="I68" s="4">
        <v>5</v>
      </c>
      <c r="J68" s="4">
        <v>5</v>
      </c>
      <c r="K68" s="4">
        <v>3</v>
      </c>
      <c r="L68" s="4">
        <f>SUM(Data_Gabungan[[#This Row],[Y1) Jika menerima undangan bergabung sebagai anggota HPFP, saya berniat menerimanya.]:[Y5) Saya berniat merekomendasikan keanggotaan HPFP kepada rekan sejawat saya.]])</f>
        <v>21</v>
      </c>
      <c r="M68" s="4" t="s">
        <v>20</v>
      </c>
      <c r="N68" s="4" t="s">
        <v>43</v>
      </c>
      <c r="O68" s="4" t="s">
        <v>163</v>
      </c>
      <c r="P68" s="4" t="s">
        <v>33</v>
      </c>
      <c r="Q68" s="4" t="s">
        <v>24</v>
      </c>
      <c r="R68" s="4" t="s">
        <v>47</v>
      </c>
    </row>
    <row r="69" spans="1:18" ht="22.5" customHeight="1" x14ac:dyDescent="0.35">
      <c r="A69" s="4">
        <v>2</v>
      </c>
      <c r="B69" s="4" t="s">
        <v>164</v>
      </c>
      <c r="C69" s="4">
        <v>51</v>
      </c>
      <c r="D69" s="4" t="s">
        <v>18</v>
      </c>
      <c r="E69" s="4" t="s">
        <v>19</v>
      </c>
      <c r="F69" s="5">
        <v>1</v>
      </c>
      <c r="G69" s="4">
        <v>4</v>
      </c>
      <c r="H69" s="4">
        <v>4</v>
      </c>
      <c r="I69" s="4">
        <v>4</v>
      </c>
      <c r="J69" s="4">
        <v>5</v>
      </c>
      <c r="K69" s="4">
        <v>3</v>
      </c>
      <c r="L69" s="4">
        <f>SUM(Data_Gabungan[[#This Row],[Y1) Jika menerima undangan bergabung sebagai anggota HPFP, saya berniat menerimanya.]:[Y5) Saya berniat merekomendasikan keanggotaan HPFP kepada rekan sejawat saya.]])</f>
        <v>20</v>
      </c>
      <c r="M69" s="4" t="s">
        <v>20</v>
      </c>
      <c r="N69" s="4" t="s">
        <v>43</v>
      </c>
      <c r="O69" s="4" t="s">
        <v>83</v>
      </c>
      <c r="P69" s="4" t="s">
        <v>33</v>
      </c>
      <c r="Q69" s="4" t="s">
        <v>24</v>
      </c>
      <c r="R69" s="4" t="s">
        <v>25</v>
      </c>
    </row>
    <row r="70" spans="1:18" ht="22.5" customHeight="1" x14ac:dyDescent="0.35">
      <c r="A70" s="4">
        <v>2</v>
      </c>
      <c r="B70" s="4" t="s">
        <v>165</v>
      </c>
      <c r="C70" s="4">
        <v>35</v>
      </c>
      <c r="D70" s="4" t="s">
        <v>18</v>
      </c>
      <c r="E70" s="4" t="s">
        <v>38</v>
      </c>
      <c r="F70" s="5">
        <v>1</v>
      </c>
      <c r="G70" s="4">
        <v>4</v>
      </c>
      <c r="H70" s="4">
        <v>3</v>
      </c>
      <c r="I70" s="4">
        <v>4</v>
      </c>
      <c r="J70" s="4">
        <v>4</v>
      </c>
      <c r="K70" s="4">
        <v>4</v>
      </c>
      <c r="L70" s="4">
        <f>SUM(Data_Gabungan[[#This Row],[Y1) Jika menerima undangan bergabung sebagai anggota HPFP, saya berniat menerimanya.]:[Y5) Saya berniat merekomendasikan keanggotaan HPFP kepada rekan sejawat saya.]])</f>
        <v>19</v>
      </c>
      <c r="M70" s="4" t="s">
        <v>51</v>
      </c>
      <c r="N70" s="4" t="s">
        <v>43</v>
      </c>
      <c r="O70" s="4" t="s">
        <v>166</v>
      </c>
      <c r="P70" s="4" t="s">
        <v>53</v>
      </c>
      <c r="Q70" s="4" t="s">
        <v>24</v>
      </c>
      <c r="R70" s="4" t="s">
        <v>41</v>
      </c>
    </row>
    <row r="71" spans="1:18" ht="22.5" customHeight="1" x14ac:dyDescent="0.35">
      <c r="A71" s="4">
        <v>2</v>
      </c>
      <c r="B71" s="4" t="s">
        <v>167</v>
      </c>
      <c r="C71" s="4">
        <v>27</v>
      </c>
      <c r="D71" s="4" t="s">
        <v>18</v>
      </c>
      <c r="E71" s="4" t="s">
        <v>38</v>
      </c>
      <c r="F71" s="5">
        <v>1</v>
      </c>
      <c r="G71" s="4">
        <v>4</v>
      </c>
      <c r="H71" s="4">
        <v>4</v>
      </c>
      <c r="I71" s="4">
        <v>3</v>
      </c>
      <c r="J71" s="4">
        <v>5</v>
      </c>
      <c r="K71" s="4">
        <v>5</v>
      </c>
      <c r="L71" s="4">
        <f>SUM(Data_Gabungan[[#This Row],[Y1) Jika menerima undangan bergabung sebagai anggota HPFP, saya berniat menerimanya.]:[Y5) Saya berniat merekomendasikan keanggotaan HPFP kepada rekan sejawat saya.]])</f>
        <v>21</v>
      </c>
      <c r="M71" s="4" t="s">
        <v>20</v>
      </c>
      <c r="N71" s="4" t="s">
        <v>43</v>
      </c>
      <c r="O71" s="4" t="s">
        <v>83</v>
      </c>
      <c r="P71" s="4" t="s">
        <v>53</v>
      </c>
      <c r="Q71" s="4" t="s">
        <v>24</v>
      </c>
      <c r="R71" s="4" t="s">
        <v>41</v>
      </c>
    </row>
    <row r="72" spans="1:18" ht="22.5" customHeight="1" x14ac:dyDescent="0.35">
      <c r="A72" s="4">
        <v>2</v>
      </c>
      <c r="B72" s="4" t="s">
        <v>168</v>
      </c>
      <c r="C72" s="4">
        <v>30</v>
      </c>
      <c r="D72" s="4" t="s">
        <v>18</v>
      </c>
      <c r="E72" s="4" t="s">
        <v>38</v>
      </c>
      <c r="F72" s="5">
        <v>1</v>
      </c>
      <c r="G72" s="4">
        <v>4</v>
      </c>
      <c r="H72" s="4">
        <v>4</v>
      </c>
      <c r="I72" s="4">
        <v>4</v>
      </c>
      <c r="J72" s="4">
        <v>5</v>
      </c>
      <c r="K72" s="4">
        <v>4</v>
      </c>
      <c r="L72" s="4">
        <f>SUM(Data_Gabungan[[#This Row],[Y1) Jika menerima undangan bergabung sebagai anggota HPFP, saya berniat menerimanya.]:[Y5) Saya berniat merekomendasikan keanggotaan HPFP kepada rekan sejawat saya.]])</f>
        <v>21</v>
      </c>
      <c r="M72" s="4" t="s">
        <v>20</v>
      </c>
      <c r="N72" s="4" t="s">
        <v>43</v>
      </c>
      <c r="O72" s="4" t="s">
        <v>169</v>
      </c>
      <c r="P72" s="4" t="s">
        <v>40</v>
      </c>
      <c r="Q72" s="4" t="s">
        <v>24</v>
      </c>
      <c r="R72" s="4" t="s">
        <v>41</v>
      </c>
    </row>
    <row r="73" spans="1:18" ht="22.5" customHeight="1" x14ac:dyDescent="0.35">
      <c r="A73" s="4">
        <v>2</v>
      </c>
      <c r="B73" s="4" t="s">
        <v>170</v>
      </c>
      <c r="C73" s="4">
        <v>30</v>
      </c>
      <c r="D73" s="4" t="s">
        <v>18</v>
      </c>
      <c r="E73" s="4" t="s">
        <v>38</v>
      </c>
      <c r="F73" s="5">
        <v>1</v>
      </c>
      <c r="G73" s="4">
        <v>4</v>
      </c>
      <c r="H73" s="4">
        <v>4</v>
      </c>
      <c r="I73" s="4">
        <v>4</v>
      </c>
      <c r="J73" s="4">
        <v>5</v>
      </c>
      <c r="K73" s="4">
        <v>4</v>
      </c>
      <c r="L73" s="4">
        <f>SUM(Data_Gabungan[[#This Row],[Y1) Jika menerima undangan bergabung sebagai anggota HPFP, saya berniat menerimanya.]:[Y5) Saya berniat merekomendasikan keanggotaan HPFP kepada rekan sejawat saya.]])</f>
        <v>21</v>
      </c>
      <c r="M73" s="4" t="s">
        <v>20</v>
      </c>
      <c r="N73" s="4" t="s">
        <v>43</v>
      </c>
      <c r="O73" s="4" t="s">
        <v>171</v>
      </c>
      <c r="P73" s="4" t="s">
        <v>40</v>
      </c>
      <c r="Q73" s="4" t="s">
        <v>28</v>
      </c>
      <c r="R73" s="4" t="s">
        <v>41</v>
      </c>
    </row>
    <row r="74" spans="1:18" ht="22.5" customHeight="1" x14ac:dyDescent="0.35">
      <c r="A74" s="4">
        <v>2</v>
      </c>
      <c r="B74" s="4" t="s">
        <v>172</v>
      </c>
      <c r="C74" s="4">
        <v>30</v>
      </c>
      <c r="D74" s="4" t="s">
        <v>37</v>
      </c>
      <c r="E74" s="4" t="s">
        <v>38</v>
      </c>
      <c r="F74" s="5">
        <v>1</v>
      </c>
      <c r="G74" s="4">
        <v>4</v>
      </c>
      <c r="H74" s="4">
        <v>4</v>
      </c>
      <c r="I74" s="4">
        <v>4</v>
      </c>
      <c r="J74" s="4">
        <v>5</v>
      </c>
      <c r="K74" s="4">
        <v>3</v>
      </c>
      <c r="L74" s="4">
        <f>SUM(Data_Gabungan[[#This Row],[Y1) Jika menerima undangan bergabung sebagai anggota HPFP, saya berniat menerimanya.]:[Y5) Saya berniat merekomendasikan keanggotaan HPFP kepada rekan sejawat saya.]])</f>
        <v>20</v>
      </c>
      <c r="M74" s="4" t="s">
        <v>20</v>
      </c>
      <c r="N74" s="4" t="s">
        <v>43</v>
      </c>
      <c r="O74" s="4" t="s">
        <v>83</v>
      </c>
      <c r="P74" s="4" t="s">
        <v>40</v>
      </c>
      <c r="Q74" s="4" t="s">
        <v>24</v>
      </c>
      <c r="R74" s="4" t="s">
        <v>25</v>
      </c>
    </row>
    <row r="75" spans="1:18" ht="22.5" customHeight="1" x14ac:dyDescent="0.35">
      <c r="A75" s="4">
        <v>2</v>
      </c>
      <c r="B75" s="4" t="s">
        <v>173</v>
      </c>
      <c r="C75" s="4">
        <v>45</v>
      </c>
      <c r="D75" s="4" t="s">
        <v>18</v>
      </c>
      <c r="E75" s="4" t="s">
        <v>38</v>
      </c>
      <c r="F75" s="5">
        <v>1</v>
      </c>
      <c r="G75" s="4">
        <v>4</v>
      </c>
      <c r="H75" s="4">
        <v>3</v>
      </c>
      <c r="I75" s="4">
        <v>4</v>
      </c>
      <c r="J75" s="4">
        <v>5</v>
      </c>
      <c r="K75" s="4">
        <v>3</v>
      </c>
      <c r="L75" s="4">
        <f>SUM(Data_Gabungan[[#This Row],[Y1) Jika menerima undangan bergabung sebagai anggota HPFP, saya berniat menerimanya.]:[Y5) Saya berniat merekomendasikan keanggotaan HPFP kepada rekan sejawat saya.]])</f>
        <v>19</v>
      </c>
      <c r="M75" s="4" t="s">
        <v>51</v>
      </c>
      <c r="N75" s="4" t="s">
        <v>43</v>
      </c>
      <c r="O75" s="4" t="s">
        <v>174</v>
      </c>
      <c r="P75" s="4" t="s">
        <v>53</v>
      </c>
      <c r="Q75" s="4" t="s">
        <v>28</v>
      </c>
      <c r="R75" s="4" t="s">
        <v>25</v>
      </c>
    </row>
    <row r="76" spans="1:18" ht="22.5" customHeight="1" x14ac:dyDescent="0.35">
      <c r="A76" s="4">
        <v>2</v>
      </c>
      <c r="B76" s="4" t="s">
        <v>175</v>
      </c>
      <c r="C76" s="4">
        <v>31</v>
      </c>
      <c r="D76" s="4" t="s">
        <v>37</v>
      </c>
      <c r="E76" s="4" t="s">
        <v>38</v>
      </c>
      <c r="F76" s="5">
        <v>1</v>
      </c>
      <c r="G76" s="4">
        <v>4</v>
      </c>
      <c r="H76" s="4">
        <v>3</v>
      </c>
      <c r="I76" s="4">
        <v>5</v>
      </c>
      <c r="J76" s="4">
        <v>5</v>
      </c>
      <c r="K76" s="4">
        <v>3</v>
      </c>
      <c r="L76" s="4">
        <f>SUM(Data_Gabungan[[#This Row],[Y1) Jika menerima undangan bergabung sebagai anggota HPFP, saya berniat menerimanya.]:[Y5) Saya berniat merekomendasikan keanggotaan HPFP kepada rekan sejawat saya.]])</f>
        <v>20</v>
      </c>
      <c r="M76" s="4" t="s">
        <v>20</v>
      </c>
      <c r="N76" s="4" t="s">
        <v>21</v>
      </c>
      <c r="O76" s="4" t="s">
        <v>176</v>
      </c>
      <c r="P76" s="4" t="s">
        <v>40</v>
      </c>
      <c r="Q76" s="4" t="s">
        <v>24</v>
      </c>
      <c r="R76" s="4" t="s">
        <v>41</v>
      </c>
    </row>
    <row r="77" spans="1:18" ht="22.5" customHeight="1" x14ac:dyDescent="0.35">
      <c r="A77" s="4">
        <v>2</v>
      </c>
      <c r="B77" s="4" t="s">
        <v>177</v>
      </c>
      <c r="C77" s="4">
        <v>30</v>
      </c>
      <c r="D77" s="4" t="s">
        <v>37</v>
      </c>
      <c r="E77" s="4" t="s">
        <v>38</v>
      </c>
      <c r="F77" s="5">
        <v>1</v>
      </c>
      <c r="G77" s="4">
        <v>3</v>
      </c>
      <c r="H77" s="4">
        <v>3</v>
      </c>
      <c r="I77" s="4">
        <v>4</v>
      </c>
      <c r="J77" s="4">
        <v>4</v>
      </c>
      <c r="K77" s="4">
        <v>4</v>
      </c>
      <c r="L77" s="4">
        <f>SUM(Data_Gabungan[[#This Row],[Y1) Jika menerima undangan bergabung sebagai anggota HPFP, saya berniat menerimanya.]:[Y5) Saya berniat merekomendasikan keanggotaan HPFP kepada rekan sejawat saya.]])</f>
        <v>18</v>
      </c>
      <c r="M77" s="4" t="s">
        <v>20</v>
      </c>
      <c r="N77" s="4" t="s">
        <v>43</v>
      </c>
      <c r="O77" s="4" t="s">
        <v>83</v>
      </c>
      <c r="P77" s="4" t="s">
        <v>40</v>
      </c>
      <c r="Q77" s="4" t="s">
        <v>28</v>
      </c>
      <c r="R77" s="4" t="s">
        <v>41</v>
      </c>
    </row>
    <row r="78" spans="1:18" ht="22.5" customHeight="1" x14ac:dyDescent="0.35">
      <c r="A78" s="4">
        <v>2</v>
      </c>
      <c r="B78" s="4" t="s">
        <v>178</v>
      </c>
      <c r="C78" s="4">
        <v>40</v>
      </c>
      <c r="D78" s="4" t="s">
        <v>37</v>
      </c>
      <c r="E78" s="4" t="s">
        <v>38</v>
      </c>
      <c r="F78" s="5">
        <v>1</v>
      </c>
      <c r="G78" s="4">
        <v>4</v>
      </c>
      <c r="H78" s="4">
        <v>3</v>
      </c>
      <c r="I78" s="4">
        <v>4</v>
      </c>
      <c r="J78" s="4">
        <v>4</v>
      </c>
      <c r="K78" s="4">
        <v>3</v>
      </c>
      <c r="L78" s="4">
        <f>SUM(Data_Gabungan[[#This Row],[Y1) Jika menerima undangan bergabung sebagai anggota HPFP, saya berniat menerimanya.]:[Y5) Saya berniat merekomendasikan keanggotaan HPFP kepada rekan sejawat saya.]])</f>
        <v>18</v>
      </c>
      <c r="M78" s="4" t="s">
        <v>20</v>
      </c>
      <c r="N78" s="4" t="s">
        <v>21</v>
      </c>
      <c r="O78" s="4" t="s">
        <v>94</v>
      </c>
      <c r="P78" s="4" t="s">
        <v>40</v>
      </c>
      <c r="Q78" s="4" t="s">
        <v>24</v>
      </c>
      <c r="R78" s="4" t="s">
        <v>41</v>
      </c>
    </row>
    <row r="79" spans="1:18" ht="22.5" customHeight="1" x14ac:dyDescent="0.35">
      <c r="A79" s="4">
        <v>2</v>
      </c>
      <c r="B79" s="4" t="s">
        <v>179</v>
      </c>
      <c r="C79" s="4">
        <v>52</v>
      </c>
      <c r="D79" s="4" t="s">
        <v>18</v>
      </c>
      <c r="E79" s="4" t="s">
        <v>38</v>
      </c>
      <c r="F79" s="5">
        <v>2</v>
      </c>
      <c r="G79" s="4">
        <v>3</v>
      </c>
      <c r="H79" s="4">
        <v>3</v>
      </c>
      <c r="I79" s="4">
        <v>4</v>
      </c>
      <c r="J79" s="4">
        <v>5</v>
      </c>
      <c r="K79" s="4">
        <v>3</v>
      </c>
      <c r="L79" s="4">
        <f>SUM(Data_Gabungan[[#This Row],[Y1) Jika menerima undangan bergabung sebagai anggota HPFP, saya berniat menerimanya.]:[Y5) Saya berniat merekomendasikan keanggotaan HPFP kepada rekan sejawat saya.]])</f>
        <v>18</v>
      </c>
      <c r="M79" s="4" t="s">
        <v>20</v>
      </c>
      <c r="N79" s="4" t="s">
        <v>21</v>
      </c>
      <c r="O79" s="4" t="s">
        <v>180</v>
      </c>
      <c r="P79" s="4" t="s">
        <v>33</v>
      </c>
      <c r="Q79" s="4" t="s">
        <v>24</v>
      </c>
      <c r="R79" s="4" t="s">
        <v>25</v>
      </c>
    </row>
    <row r="80" spans="1:18" ht="22.5" customHeight="1" x14ac:dyDescent="0.35">
      <c r="A80" s="4">
        <v>2</v>
      </c>
      <c r="B80" s="4" t="s">
        <v>181</v>
      </c>
      <c r="C80" s="4">
        <v>40</v>
      </c>
      <c r="D80" s="4" t="s">
        <v>37</v>
      </c>
      <c r="E80" s="4" t="s">
        <v>38</v>
      </c>
      <c r="F80" s="5">
        <v>1</v>
      </c>
      <c r="G80" s="4">
        <v>4</v>
      </c>
      <c r="H80" s="4">
        <v>3</v>
      </c>
      <c r="I80" s="4">
        <v>3</v>
      </c>
      <c r="J80" s="4">
        <v>4</v>
      </c>
      <c r="K80" s="4">
        <v>4</v>
      </c>
      <c r="L80" s="4">
        <f>SUM(Data_Gabungan[[#This Row],[Y1) Jika menerima undangan bergabung sebagai anggota HPFP, saya berniat menerimanya.]:[Y5) Saya berniat merekomendasikan keanggotaan HPFP kepada rekan sejawat saya.]])</f>
        <v>18</v>
      </c>
      <c r="M80" s="4" t="s">
        <v>20</v>
      </c>
      <c r="N80" s="4" t="s">
        <v>21</v>
      </c>
      <c r="O80" s="4" t="s">
        <v>182</v>
      </c>
      <c r="P80" s="4" t="s">
        <v>33</v>
      </c>
      <c r="Q80" s="4" t="s">
        <v>24</v>
      </c>
      <c r="R80" s="4" t="s">
        <v>25</v>
      </c>
    </row>
    <row r="81" spans="1:18" ht="22.5" customHeight="1" x14ac:dyDescent="0.35">
      <c r="A81" s="4">
        <v>2</v>
      </c>
      <c r="B81" s="4" t="s">
        <v>183</v>
      </c>
      <c r="C81" s="4">
        <v>36</v>
      </c>
      <c r="D81" s="4" t="s">
        <v>37</v>
      </c>
      <c r="E81" s="4" t="s">
        <v>38</v>
      </c>
      <c r="F81" s="5">
        <v>1</v>
      </c>
      <c r="G81" s="4">
        <v>4</v>
      </c>
      <c r="H81" s="4">
        <v>3</v>
      </c>
      <c r="I81" s="4">
        <v>3</v>
      </c>
      <c r="J81" s="4">
        <v>4</v>
      </c>
      <c r="K81" s="4">
        <v>4</v>
      </c>
      <c r="L81" s="4">
        <f>SUM(Data_Gabungan[[#This Row],[Y1) Jika menerima undangan bergabung sebagai anggota HPFP, saya berniat menerimanya.]:[Y5) Saya berniat merekomendasikan keanggotaan HPFP kepada rekan sejawat saya.]])</f>
        <v>18</v>
      </c>
      <c r="M81" s="4" t="s">
        <v>20</v>
      </c>
      <c r="N81" s="4" t="s">
        <v>21</v>
      </c>
      <c r="O81" s="4" t="s">
        <v>184</v>
      </c>
      <c r="P81" s="4" t="s">
        <v>40</v>
      </c>
      <c r="Q81" s="4" t="s">
        <v>24</v>
      </c>
      <c r="R81" s="4" t="s">
        <v>41</v>
      </c>
    </row>
    <row r="82" spans="1:18" ht="22.5" customHeight="1" x14ac:dyDescent="0.35">
      <c r="A82" s="4">
        <v>2</v>
      </c>
      <c r="B82" s="4" t="s">
        <v>185</v>
      </c>
      <c r="C82" s="4">
        <v>29</v>
      </c>
      <c r="D82" s="4" t="s">
        <v>18</v>
      </c>
      <c r="E82" s="4" t="s">
        <v>38</v>
      </c>
      <c r="F82" s="5">
        <v>1</v>
      </c>
      <c r="G82" s="4">
        <v>4</v>
      </c>
      <c r="H82" s="4">
        <v>4</v>
      </c>
      <c r="I82" s="4">
        <v>4</v>
      </c>
      <c r="J82" s="4">
        <v>3</v>
      </c>
      <c r="K82" s="4">
        <v>4</v>
      </c>
      <c r="L82" s="4">
        <f>SUM(Data_Gabungan[[#This Row],[Y1) Jika menerima undangan bergabung sebagai anggota HPFP, saya berniat menerimanya.]:[Y5) Saya berniat merekomendasikan keanggotaan HPFP kepada rekan sejawat saya.]])</f>
        <v>19</v>
      </c>
      <c r="M82" s="4" t="s">
        <v>20</v>
      </c>
      <c r="N82" s="4" t="s">
        <v>43</v>
      </c>
      <c r="O82" s="4" t="s">
        <v>83</v>
      </c>
      <c r="P82" s="4" t="s">
        <v>40</v>
      </c>
      <c r="Q82" s="4" t="s">
        <v>24</v>
      </c>
      <c r="R82" s="4" t="s">
        <v>41</v>
      </c>
    </row>
    <row r="83" spans="1:18" ht="22.5" customHeight="1" x14ac:dyDescent="0.35">
      <c r="A83" s="4">
        <v>2</v>
      </c>
      <c r="B83" s="4" t="s">
        <v>186</v>
      </c>
      <c r="C83" s="4">
        <v>49</v>
      </c>
      <c r="D83" s="4" t="s">
        <v>37</v>
      </c>
      <c r="E83" s="4" t="s">
        <v>19</v>
      </c>
      <c r="F83" s="5">
        <v>1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f>SUM(Data_Gabungan[[#This Row],[Y1) Jika menerima undangan bergabung sebagai anggota HPFP, saya berniat menerimanya.]:[Y5) Saya berniat merekomendasikan keanggotaan HPFP kepada rekan sejawat saya.]])</f>
        <v>19</v>
      </c>
      <c r="M83" s="4" t="s">
        <v>20</v>
      </c>
      <c r="N83" s="4" t="s">
        <v>21</v>
      </c>
      <c r="O83" s="4" t="s">
        <v>187</v>
      </c>
      <c r="P83" s="4" t="s">
        <v>33</v>
      </c>
      <c r="Q83" s="4" t="s">
        <v>28</v>
      </c>
      <c r="R83" s="4" t="s">
        <v>25</v>
      </c>
    </row>
    <row r="84" spans="1:18" ht="22.5" customHeight="1" x14ac:dyDescent="0.35">
      <c r="A84" s="4">
        <v>2</v>
      </c>
      <c r="B84" s="4" t="s">
        <v>188</v>
      </c>
      <c r="C84" s="4">
        <v>32</v>
      </c>
      <c r="D84" s="4" t="s">
        <v>18</v>
      </c>
      <c r="E84" s="4" t="s">
        <v>19</v>
      </c>
      <c r="F84" s="5">
        <v>1</v>
      </c>
      <c r="G84" s="4">
        <v>3</v>
      </c>
      <c r="H84" s="4">
        <v>3</v>
      </c>
      <c r="I84" s="4">
        <v>4</v>
      </c>
      <c r="J84" s="4">
        <v>3</v>
      </c>
      <c r="K84" s="4">
        <v>4</v>
      </c>
      <c r="L84" s="4">
        <f>SUM(Data_Gabungan[[#This Row],[Y1) Jika menerima undangan bergabung sebagai anggota HPFP, saya berniat menerimanya.]:[Y5) Saya berniat merekomendasikan keanggotaan HPFP kepada rekan sejawat saya.]])</f>
        <v>17</v>
      </c>
      <c r="M84" s="4" t="s">
        <v>20</v>
      </c>
      <c r="N84" s="4" t="s">
        <v>43</v>
      </c>
      <c r="O84" s="4" t="s">
        <v>67</v>
      </c>
      <c r="P84" s="4" t="s">
        <v>40</v>
      </c>
      <c r="Q84" s="4" t="s">
        <v>24</v>
      </c>
      <c r="R84" s="4" t="s">
        <v>41</v>
      </c>
    </row>
    <row r="85" spans="1:18" ht="22.5" customHeight="1" x14ac:dyDescent="0.35">
      <c r="A85" s="4">
        <v>3</v>
      </c>
      <c r="B85" s="6" t="s">
        <v>189</v>
      </c>
      <c r="C85" s="7">
        <v>27</v>
      </c>
      <c r="D85" s="6" t="s">
        <v>18</v>
      </c>
      <c r="E85" s="6" t="s">
        <v>38</v>
      </c>
      <c r="F85" s="8">
        <v>3</v>
      </c>
      <c r="G85" s="7">
        <v>4</v>
      </c>
      <c r="H85" s="7">
        <v>5</v>
      </c>
      <c r="I85" s="7">
        <v>5</v>
      </c>
      <c r="J85" s="7">
        <v>4</v>
      </c>
      <c r="K85" s="7">
        <v>4</v>
      </c>
      <c r="L85" s="7">
        <f>SUM(Data_Gabungan[[#This Row],[Y1) Jika menerima undangan bergabung sebagai anggota HPFP, saya berniat menerimanya.]:[Y5) Saya berniat merekomendasikan keanggotaan HPFP kepada rekan sejawat saya.]])</f>
        <v>22</v>
      </c>
      <c r="M85" s="6" t="s">
        <v>20</v>
      </c>
      <c r="N85" s="6" t="s">
        <v>43</v>
      </c>
      <c r="O85" s="6" t="s">
        <v>190</v>
      </c>
      <c r="P85" s="6" t="s">
        <v>53</v>
      </c>
      <c r="Q85" s="6" t="s">
        <v>24</v>
      </c>
      <c r="R85" s="6" t="s">
        <v>41</v>
      </c>
    </row>
    <row r="86" spans="1:18" ht="22.5" customHeight="1" x14ac:dyDescent="0.35">
      <c r="A86" s="4">
        <v>3</v>
      </c>
      <c r="B86" s="9" t="s">
        <v>191</v>
      </c>
      <c r="C86" s="10">
        <v>37</v>
      </c>
      <c r="D86" s="9" t="s">
        <v>18</v>
      </c>
      <c r="E86" s="9" t="s">
        <v>38</v>
      </c>
      <c r="F86" s="8">
        <v>5</v>
      </c>
      <c r="G86" s="10">
        <v>5</v>
      </c>
      <c r="H86" s="10">
        <v>5</v>
      </c>
      <c r="I86" s="10">
        <v>5</v>
      </c>
      <c r="J86" s="10">
        <v>5</v>
      </c>
      <c r="K86" s="10">
        <v>5</v>
      </c>
      <c r="L86" s="10">
        <f>SUM(Data_Gabungan[[#This Row],[Y1) Jika menerima undangan bergabung sebagai anggota HPFP, saya berniat menerimanya.]:[Y5) Saya berniat merekomendasikan keanggotaan HPFP kepada rekan sejawat saya.]])</f>
        <v>25</v>
      </c>
      <c r="M86" s="9" t="s">
        <v>20</v>
      </c>
      <c r="N86" s="9" t="s">
        <v>21</v>
      </c>
      <c r="O86" s="9" t="s">
        <v>192</v>
      </c>
      <c r="P86" s="9" t="s">
        <v>53</v>
      </c>
      <c r="Q86" s="9" t="s">
        <v>24</v>
      </c>
      <c r="R86" s="9" t="s">
        <v>41</v>
      </c>
    </row>
    <row r="87" spans="1:18" ht="22.5" customHeight="1" x14ac:dyDescent="0.35">
      <c r="A87" s="4">
        <v>3</v>
      </c>
      <c r="B87" s="6" t="s">
        <v>193</v>
      </c>
      <c r="C87" s="7">
        <v>34</v>
      </c>
      <c r="D87" s="6" t="s">
        <v>18</v>
      </c>
      <c r="E87" s="6" t="s">
        <v>19</v>
      </c>
      <c r="F87" s="8">
        <v>5</v>
      </c>
      <c r="G87" s="7">
        <v>5</v>
      </c>
      <c r="H87" s="7">
        <v>5</v>
      </c>
      <c r="I87" s="7">
        <v>5</v>
      </c>
      <c r="J87" s="7">
        <v>5</v>
      </c>
      <c r="K87" s="7">
        <v>5</v>
      </c>
      <c r="L87" s="7">
        <f>SUM(Data_Gabungan[[#This Row],[Y1) Jika menerima undangan bergabung sebagai anggota HPFP, saya berniat menerimanya.]:[Y5) Saya berniat merekomendasikan keanggotaan HPFP kepada rekan sejawat saya.]])</f>
        <v>25</v>
      </c>
      <c r="M87" s="6" t="s">
        <v>20</v>
      </c>
      <c r="N87" s="6" t="s">
        <v>43</v>
      </c>
      <c r="O87" s="6" t="s">
        <v>194</v>
      </c>
      <c r="P87" s="6" t="s">
        <v>40</v>
      </c>
      <c r="Q87" s="6" t="s">
        <v>28</v>
      </c>
      <c r="R87" s="6" t="s">
        <v>41</v>
      </c>
    </row>
    <row r="88" spans="1:18" ht="22.5" customHeight="1" x14ac:dyDescent="0.35">
      <c r="A88" s="4">
        <v>3</v>
      </c>
      <c r="B88" s="9" t="s">
        <v>195</v>
      </c>
      <c r="C88" s="10">
        <v>27</v>
      </c>
      <c r="D88" s="9" t="s">
        <v>37</v>
      </c>
      <c r="E88" s="9" t="s">
        <v>38</v>
      </c>
      <c r="F88" s="8">
        <v>4</v>
      </c>
      <c r="G88" s="10">
        <v>3</v>
      </c>
      <c r="H88" s="10">
        <v>4</v>
      </c>
      <c r="I88" s="10">
        <v>5</v>
      </c>
      <c r="J88" s="10">
        <v>5</v>
      </c>
      <c r="K88" s="10">
        <v>4</v>
      </c>
      <c r="L88" s="10">
        <f>SUM(Data_Gabungan[[#This Row],[Y1) Jika menerima undangan bergabung sebagai anggota HPFP, saya berniat menerimanya.]:[Y5) Saya berniat merekomendasikan keanggotaan HPFP kepada rekan sejawat saya.]])</f>
        <v>21</v>
      </c>
      <c r="M88" s="9" t="s">
        <v>20</v>
      </c>
      <c r="N88" s="9" t="s">
        <v>21</v>
      </c>
      <c r="O88" s="9" t="s">
        <v>196</v>
      </c>
      <c r="P88" s="9" t="s">
        <v>53</v>
      </c>
      <c r="Q88" s="9" t="s">
        <v>28</v>
      </c>
      <c r="R88" s="9" t="s">
        <v>41</v>
      </c>
    </row>
    <row r="89" spans="1:18" ht="22.5" customHeight="1" x14ac:dyDescent="0.35">
      <c r="A89" s="4">
        <v>3</v>
      </c>
      <c r="B89" s="6" t="s">
        <v>197</v>
      </c>
      <c r="C89" s="7">
        <v>32</v>
      </c>
      <c r="D89" s="6" t="s">
        <v>18</v>
      </c>
      <c r="E89" s="6" t="s">
        <v>198</v>
      </c>
      <c r="F89" s="8">
        <v>3</v>
      </c>
      <c r="G89" s="7">
        <v>5</v>
      </c>
      <c r="H89" s="7">
        <v>4</v>
      </c>
      <c r="I89" s="7">
        <v>5</v>
      </c>
      <c r="J89" s="7">
        <v>5</v>
      </c>
      <c r="K89" s="7">
        <v>5</v>
      </c>
      <c r="L89" s="7">
        <f>SUM(Data_Gabungan[[#This Row],[Y1) Jika menerima undangan bergabung sebagai anggota HPFP, saya berniat menerimanya.]:[Y5) Saya berniat merekomendasikan keanggotaan HPFP kepada rekan sejawat saya.]])</f>
        <v>24</v>
      </c>
      <c r="M89" s="6" t="s">
        <v>20</v>
      </c>
      <c r="N89" s="6" t="s">
        <v>21</v>
      </c>
      <c r="O89" s="6" t="s">
        <v>199</v>
      </c>
      <c r="P89" s="6" t="s">
        <v>40</v>
      </c>
      <c r="Q89" s="6" t="s">
        <v>124</v>
      </c>
      <c r="R89" s="6" t="s">
        <v>125</v>
      </c>
    </row>
    <row r="90" spans="1:18" ht="22.5" customHeight="1" x14ac:dyDescent="0.35">
      <c r="A90" s="4">
        <v>3</v>
      </c>
      <c r="B90" s="9" t="s">
        <v>200</v>
      </c>
      <c r="C90" s="10">
        <v>51</v>
      </c>
      <c r="D90" s="9" t="s">
        <v>18</v>
      </c>
      <c r="E90" s="9" t="s">
        <v>19</v>
      </c>
      <c r="F90" s="8">
        <v>5</v>
      </c>
      <c r="G90" s="10">
        <v>5</v>
      </c>
      <c r="H90" s="10">
        <v>4</v>
      </c>
      <c r="I90" s="10">
        <v>5</v>
      </c>
      <c r="J90" s="10">
        <v>5</v>
      </c>
      <c r="K90" s="10">
        <v>5</v>
      </c>
      <c r="L90" s="10">
        <f>SUM(Data_Gabungan[[#This Row],[Y1) Jika menerima undangan bergabung sebagai anggota HPFP, saya berniat menerimanya.]:[Y5) Saya berniat merekomendasikan keanggotaan HPFP kepada rekan sejawat saya.]])</f>
        <v>24</v>
      </c>
      <c r="M90" s="9" t="s">
        <v>20</v>
      </c>
      <c r="N90" s="9" t="s">
        <v>21</v>
      </c>
      <c r="O90" s="9" t="s">
        <v>201</v>
      </c>
      <c r="P90" s="9" t="s">
        <v>33</v>
      </c>
      <c r="Q90" s="9" t="s">
        <v>24</v>
      </c>
      <c r="R90" s="9" t="s">
        <v>25</v>
      </c>
    </row>
    <row r="91" spans="1:18" ht="22.5" customHeight="1" x14ac:dyDescent="0.35">
      <c r="A91" s="4">
        <v>3</v>
      </c>
      <c r="B91" s="6" t="s">
        <v>202</v>
      </c>
      <c r="C91" s="7">
        <v>45</v>
      </c>
      <c r="D91" s="6" t="s">
        <v>37</v>
      </c>
      <c r="E91" s="6" t="s">
        <v>38</v>
      </c>
      <c r="F91" s="8">
        <v>5</v>
      </c>
      <c r="G91" s="7">
        <v>4</v>
      </c>
      <c r="H91" s="7">
        <v>4</v>
      </c>
      <c r="I91" s="7">
        <v>4</v>
      </c>
      <c r="J91" s="7">
        <v>5</v>
      </c>
      <c r="K91" s="7">
        <v>4</v>
      </c>
      <c r="L91" s="7">
        <f>SUM(Data_Gabungan[[#This Row],[Y1) Jika menerima undangan bergabung sebagai anggota HPFP, saya berniat menerimanya.]:[Y5) Saya berniat merekomendasikan keanggotaan HPFP kepada rekan sejawat saya.]])</f>
        <v>21</v>
      </c>
      <c r="M91" s="6" t="s">
        <v>20</v>
      </c>
      <c r="N91" s="6" t="s">
        <v>21</v>
      </c>
      <c r="O91" s="6" t="s">
        <v>203</v>
      </c>
      <c r="P91" s="6" t="s">
        <v>23</v>
      </c>
      <c r="Q91" s="6" t="s">
        <v>24</v>
      </c>
      <c r="R91" s="6" t="s">
        <v>25</v>
      </c>
    </row>
    <row r="92" spans="1:18" ht="22.5" customHeight="1" x14ac:dyDescent="0.35">
      <c r="A92" s="4">
        <v>3</v>
      </c>
      <c r="B92" s="9" t="s">
        <v>204</v>
      </c>
      <c r="C92" s="10">
        <v>41</v>
      </c>
      <c r="D92" s="9" t="s">
        <v>37</v>
      </c>
      <c r="E92" s="9" t="s">
        <v>38</v>
      </c>
      <c r="F92" s="8">
        <v>3</v>
      </c>
      <c r="G92" s="10">
        <v>3</v>
      </c>
      <c r="H92" s="10">
        <v>5</v>
      </c>
      <c r="I92" s="10">
        <v>4</v>
      </c>
      <c r="J92" s="10">
        <v>4</v>
      </c>
      <c r="K92" s="10">
        <v>5</v>
      </c>
      <c r="L92" s="10">
        <f>SUM(Data_Gabungan[[#This Row],[Y1) Jika menerima undangan bergabung sebagai anggota HPFP, saya berniat menerimanya.]:[Y5) Saya berniat merekomendasikan keanggotaan HPFP kepada rekan sejawat saya.]])</f>
        <v>21</v>
      </c>
      <c r="M92" s="9" t="s">
        <v>51</v>
      </c>
      <c r="N92" s="9" t="s">
        <v>21</v>
      </c>
      <c r="O92" s="9" t="s">
        <v>205</v>
      </c>
      <c r="P92" s="9" t="s">
        <v>53</v>
      </c>
      <c r="Q92" s="9" t="s">
        <v>24</v>
      </c>
      <c r="R92" s="9" t="s">
        <v>41</v>
      </c>
    </row>
    <row r="93" spans="1:18" ht="22.5" customHeight="1" x14ac:dyDescent="0.35">
      <c r="A93" s="4">
        <v>3</v>
      </c>
      <c r="B93" s="6" t="s">
        <v>206</v>
      </c>
      <c r="C93" s="7">
        <v>37</v>
      </c>
      <c r="D93" s="6" t="s">
        <v>18</v>
      </c>
      <c r="E93" s="6" t="s">
        <v>19</v>
      </c>
      <c r="F93" s="8">
        <v>5</v>
      </c>
      <c r="G93" s="7">
        <v>5</v>
      </c>
      <c r="H93" s="7">
        <v>5</v>
      </c>
      <c r="I93" s="7">
        <v>4</v>
      </c>
      <c r="J93" s="7">
        <v>4</v>
      </c>
      <c r="K93" s="7">
        <v>5</v>
      </c>
      <c r="L93" s="7">
        <f>SUM(Data_Gabungan[[#This Row],[Y1) Jika menerima undangan bergabung sebagai anggota HPFP, saya berniat menerimanya.]:[Y5) Saya berniat merekomendasikan keanggotaan HPFP kepada rekan sejawat saya.]])</f>
        <v>23</v>
      </c>
      <c r="M93" s="6" t="s">
        <v>20</v>
      </c>
      <c r="N93" s="6" t="s">
        <v>21</v>
      </c>
      <c r="O93" s="6" t="s">
        <v>207</v>
      </c>
      <c r="P93" s="6" t="s">
        <v>40</v>
      </c>
      <c r="Q93" s="6" t="s">
        <v>24</v>
      </c>
      <c r="R93" s="6" t="s">
        <v>41</v>
      </c>
    </row>
    <row r="94" spans="1:18" ht="22.5" customHeight="1" x14ac:dyDescent="0.35">
      <c r="A94" s="4">
        <v>3</v>
      </c>
      <c r="B94" s="9" t="s">
        <v>208</v>
      </c>
      <c r="C94" s="10">
        <v>50</v>
      </c>
      <c r="D94" s="9" t="s">
        <v>18</v>
      </c>
      <c r="E94" s="9" t="s">
        <v>38</v>
      </c>
      <c r="F94" s="8">
        <v>4</v>
      </c>
      <c r="G94" s="10">
        <v>5</v>
      </c>
      <c r="H94" s="10">
        <v>5</v>
      </c>
      <c r="I94" s="10">
        <v>5</v>
      </c>
      <c r="J94" s="10">
        <v>5</v>
      </c>
      <c r="K94" s="10">
        <v>5</v>
      </c>
      <c r="L94" s="10">
        <f>SUM(Data_Gabungan[[#This Row],[Y1) Jika menerima undangan bergabung sebagai anggota HPFP, saya berniat menerimanya.]:[Y5) Saya berniat merekomendasikan keanggotaan HPFP kepada rekan sejawat saya.]])</f>
        <v>25</v>
      </c>
      <c r="M94" s="9" t="s">
        <v>20</v>
      </c>
      <c r="N94" s="9" t="s">
        <v>21</v>
      </c>
      <c r="O94" s="9" t="s">
        <v>209</v>
      </c>
      <c r="P94" s="9" t="s">
        <v>33</v>
      </c>
      <c r="Q94" s="9" t="s">
        <v>24</v>
      </c>
      <c r="R94" s="9" t="s">
        <v>25</v>
      </c>
    </row>
    <row r="95" spans="1:18" ht="22.5" customHeight="1" x14ac:dyDescent="0.35">
      <c r="A95" s="4">
        <v>3</v>
      </c>
      <c r="B95" s="6" t="s">
        <v>210</v>
      </c>
      <c r="C95" s="7">
        <v>31</v>
      </c>
      <c r="D95" s="6" t="s">
        <v>37</v>
      </c>
      <c r="E95" s="6" t="s">
        <v>38</v>
      </c>
      <c r="F95" s="8">
        <v>5</v>
      </c>
      <c r="G95" s="7">
        <v>5</v>
      </c>
      <c r="H95" s="7">
        <v>4</v>
      </c>
      <c r="I95" s="7">
        <v>5</v>
      </c>
      <c r="J95" s="7">
        <v>5</v>
      </c>
      <c r="K95" s="7">
        <v>4</v>
      </c>
      <c r="L95" s="7">
        <f>SUM(Data_Gabungan[[#This Row],[Y1) Jika menerima undangan bergabung sebagai anggota HPFP, saya berniat menerimanya.]:[Y5) Saya berniat merekomendasikan keanggotaan HPFP kepada rekan sejawat saya.]])</f>
        <v>23</v>
      </c>
      <c r="M95" s="6" t="s">
        <v>20</v>
      </c>
      <c r="N95" s="6" t="s">
        <v>43</v>
      </c>
      <c r="O95" s="6" t="s">
        <v>83</v>
      </c>
      <c r="P95" s="6" t="s">
        <v>40</v>
      </c>
      <c r="Q95" s="6" t="s">
        <v>24</v>
      </c>
      <c r="R95" s="6" t="s">
        <v>41</v>
      </c>
    </row>
    <row r="96" spans="1:18" ht="22.5" customHeight="1" x14ac:dyDescent="0.35">
      <c r="A96" s="4">
        <v>3</v>
      </c>
      <c r="B96" s="9" t="s">
        <v>211</v>
      </c>
      <c r="C96" s="10">
        <v>34</v>
      </c>
      <c r="D96" s="9" t="s">
        <v>37</v>
      </c>
      <c r="E96" s="9" t="s">
        <v>19</v>
      </c>
      <c r="F96" s="8">
        <v>5</v>
      </c>
      <c r="G96" s="10">
        <v>4</v>
      </c>
      <c r="H96" s="10">
        <v>5</v>
      </c>
      <c r="I96" s="10">
        <v>5</v>
      </c>
      <c r="J96" s="10">
        <v>5</v>
      </c>
      <c r="K96" s="10">
        <v>5</v>
      </c>
      <c r="L96" s="10">
        <f>SUM(Data_Gabungan[[#This Row],[Y1) Jika menerima undangan bergabung sebagai anggota HPFP, saya berniat menerimanya.]:[Y5) Saya berniat merekomendasikan keanggotaan HPFP kepada rekan sejawat saya.]])</f>
        <v>24</v>
      </c>
      <c r="M96" s="9" t="s">
        <v>20</v>
      </c>
      <c r="N96" s="9" t="s">
        <v>43</v>
      </c>
      <c r="O96" s="9" t="s">
        <v>212</v>
      </c>
      <c r="P96" s="9" t="s">
        <v>40</v>
      </c>
      <c r="Q96" s="9" t="s">
        <v>28</v>
      </c>
      <c r="R96" s="9" t="s">
        <v>41</v>
      </c>
    </row>
    <row r="97" spans="1:18" ht="22.5" customHeight="1" x14ac:dyDescent="0.35">
      <c r="A97" s="4">
        <v>3</v>
      </c>
      <c r="B97" s="6" t="s">
        <v>213</v>
      </c>
      <c r="C97" s="7">
        <v>31</v>
      </c>
      <c r="D97" s="6" t="s">
        <v>37</v>
      </c>
      <c r="E97" s="6" t="s">
        <v>38</v>
      </c>
      <c r="F97" s="8">
        <v>5</v>
      </c>
      <c r="G97" s="7">
        <v>5</v>
      </c>
      <c r="H97" s="7">
        <v>5</v>
      </c>
      <c r="I97" s="7">
        <v>5</v>
      </c>
      <c r="J97" s="7">
        <v>5</v>
      </c>
      <c r="K97" s="7">
        <v>5</v>
      </c>
      <c r="L97" s="7">
        <f>SUM(Data_Gabungan[[#This Row],[Y1) Jika menerima undangan bergabung sebagai anggota HPFP, saya berniat menerimanya.]:[Y5) Saya berniat merekomendasikan keanggotaan HPFP kepada rekan sejawat saya.]])</f>
        <v>25</v>
      </c>
      <c r="M97" s="6" t="s">
        <v>20</v>
      </c>
      <c r="N97" s="6" t="s">
        <v>43</v>
      </c>
      <c r="O97" s="6" t="s">
        <v>71</v>
      </c>
      <c r="P97" s="6" t="s">
        <v>40</v>
      </c>
      <c r="Q97" s="6" t="s">
        <v>24</v>
      </c>
      <c r="R97" s="6" t="s">
        <v>25</v>
      </c>
    </row>
    <row r="98" spans="1:18" ht="22.5" customHeight="1" x14ac:dyDescent="0.35">
      <c r="A98" s="4">
        <v>3</v>
      </c>
      <c r="B98" s="9" t="s">
        <v>214</v>
      </c>
      <c r="C98" s="10">
        <v>31</v>
      </c>
      <c r="D98" s="9" t="s">
        <v>37</v>
      </c>
      <c r="E98" s="9" t="s">
        <v>38</v>
      </c>
      <c r="F98" s="8">
        <v>5</v>
      </c>
      <c r="G98" s="10">
        <v>5</v>
      </c>
      <c r="H98" s="10">
        <v>5</v>
      </c>
      <c r="I98" s="10">
        <v>4</v>
      </c>
      <c r="J98" s="10">
        <v>4</v>
      </c>
      <c r="K98" s="10">
        <v>5</v>
      </c>
      <c r="L98" s="10">
        <f>SUM(Data_Gabungan[[#This Row],[Y1) Jika menerima undangan bergabung sebagai anggota HPFP, saya berniat menerimanya.]:[Y5) Saya berniat merekomendasikan keanggotaan HPFP kepada rekan sejawat saya.]])</f>
        <v>23</v>
      </c>
      <c r="M98" s="9" t="s">
        <v>20</v>
      </c>
      <c r="N98" s="9" t="s">
        <v>43</v>
      </c>
      <c r="O98" s="9" t="s">
        <v>77</v>
      </c>
      <c r="P98" s="9" t="s">
        <v>40</v>
      </c>
      <c r="Q98" s="9" t="s">
        <v>24</v>
      </c>
      <c r="R98" s="9" t="s">
        <v>41</v>
      </c>
    </row>
    <row r="99" spans="1:18" ht="22.5" customHeight="1" x14ac:dyDescent="0.35">
      <c r="A99" s="4">
        <v>3</v>
      </c>
      <c r="B99" s="6" t="s">
        <v>215</v>
      </c>
      <c r="C99" s="7">
        <v>31</v>
      </c>
      <c r="D99" s="6" t="s">
        <v>37</v>
      </c>
      <c r="E99" s="6" t="s">
        <v>38</v>
      </c>
      <c r="F99" s="8">
        <v>4</v>
      </c>
      <c r="G99" s="7">
        <v>5</v>
      </c>
      <c r="H99" s="7">
        <v>4</v>
      </c>
      <c r="I99" s="7">
        <v>4</v>
      </c>
      <c r="J99" s="7">
        <v>4</v>
      </c>
      <c r="K99" s="7">
        <v>5</v>
      </c>
      <c r="L99" s="7">
        <f>SUM(Data_Gabungan[[#This Row],[Y1) Jika menerima undangan bergabung sebagai anggota HPFP, saya berniat menerimanya.]:[Y5) Saya berniat merekomendasikan keanggotaan HPFP kepada rekan sejawat saya.]])</f>
        <v>22</v>
      </c>
      <c r="M99" s="6" t="s">
        <v>51</v>
      </c>
      <c r="N99" s="6" t="s">
        <v>43</v>
      </c>
      <c r="O99" s="6" t="s">
        <v>67</v>
      </c>
      <c r="P99" s="6" t="s">
        <v>53</v>
      </c>
      <c r="Q99" s="6" t="s">
        <v>24</v>
      </c>
      <c r="R99" s="6" t="s">
        <v>25</v>
      </c>
    </row>
    <row r="100" spans="1:18" ht="22.5" customHeight="1" x14ac:dyDescent="0.35">
      <c r="A100" s="4">
        <v>3</v>
      </c>
      <c r="B100" s="9" t="s">
        <v>216</v>
      </c>
      <c r="C100" s="10">
        <v>40</v>
      </c>
      <c r="D100" s="9" t="s">
        <v>18</v>
      </c>
      <c r="E100" s="9" t="s">
        <v>19</v>
      </c>
      <c r="F100" s="8">
        <v>5</v>
      </c>
      <c r="G100" s="10">
        <v>5</v>
      </c>
      <c r="H100" s="10">
        <v>4</v>
      </c>
      <c r="I100" s="10">
        <v>5</v>
      </c>
      <c r="J100" s="10">
        <v>5</v>
      </c>
      <c r="K100" s="10">
        <v>5</v>
      </c>
      <c r="L100" s="10">
        <f>SUM(Data_Gabungan[[#This Row],[Y1) Jika menerima undangan bergabung sebagai anggota HPFP, saya berniat menerimanya.]:[Y5) Saya berniat merekomendasikan keanggotaan HPFP kepada rekan sejawat saya.]])</f>
        <v>24</v>
      </c>
      <c r="M100" s="9" t="s">
        <v>20</v>
      </c>
      <c r="N100" s="9" t="s">
        <v>43</v>
      </c>
      <c r="O100" s="9" t="s">
        <v>71</v>
      </c>
      <c r="P100" s="9" t="s">
        <v>33</v>
      </c>
      <c r="Q100" s="9" t="s">
        <v>24</v>
      </c>
      <c r="R100" s="9" t="s">
        <v>25</v>
      </c>
    </row>
    <row r="101" spans="1:18" ht="22.5" customHeight="1" x14ac:dyDescent="0.35">
      <c r="A101" s="4">
        <v>3</v>
      </c>
      <c r="B101" s="6" t="s">
        <v>217</v>
      </c>
      <c r="C101" s="7">
        <v>43</v>
      </c>
      <c r="D101" s="6" t="s">
        <v>18</v>
      </c>
      <c r="E101" s="6" t="s">
        <v>38</v>
      </c>
      <c r="F101" s="8">
        <v>4</v>
      </c>
      <c r="G101" s="7">
        <v>5</v>
      </c>
      <c r="H101" s="7">
        <v>4</v>
      </c>
      <c r="I101" s="7">
        <v>5</v>
      </c>
      <c r="J101" s="7">
        <v>4</v>
      </c>
      <c r="K101" s="7">
        <v>5</v>
      </c>
      <c r="L101" s="7">
        <f>SUM(Data_Gabungan[[#This Row],[Y1) Jika menerima undangan bergabung sebagai anggota HPFP, saya berniat menerimanya.]:[Y5) Saya berniat merekomendasikan keanggotaan HPFP kepada rekan sejawat saya.]])</f>
        <v>23</v>
      </c>
      <c r="M101" s="6" t="s">
        <v>51</v>
      </c>
      <c r="N101" s="6" t="s">
        <v>43</v>
      </c>
      <c r="O101" s="6" t="s">
        <v>218</v>
      </c>
      <c r="P101" s="6" t="s">
        <v>53</v>
      </c>
      <c r="Q101" s="6" t="s">
        <v>24</v>
      </c>
      <c r="R101" s="6" t="s">
        <v>25</v>
      </c>
    </row>
    <row r="102" spans="1:18" ht="22.5" customHeight="1" x14ac:dyDescent="0.35">
      <c r="A102" s="4">
        <v>3</v>
      </c>
      <c r="B102" s="9" t="s">
        <v>219</v>
      </c>
      <c r="C102" s="10">
        <v>31</v>
      </c>
      <c r="D102" s="9" t="s">
        <v>18</v>
      </c>
      <c r="E102" s="9" t="s">
        <v>38</v>
      </c>
      <c r="F102" s="8">
        <v>5</v>
      </c>
      <c r="G102" s="10">
        <v>5</v>
      </c>
      <c r="H102" s="10">
        <v>4</v>
      </c>
      <c r="I102" s="10">
        <v>5</v>
      </c>
      <c r="J102" s="10">
        <v>5</v>
      </c>
      <c r="K102" s="10">
        <v>4</v>
      </c>
      <c r="L102" s="10">
        <f>SUM(Data_Gabungan[[#This Row],[Y1) Jika menerima undangan bergabung sebagai anggota HPFP, saya berniat menerimanya.]:[Y5) Saya berniat merekomendasikan keanggotaan HPFP kepada rekan sejawat saya.]])</f>
        <v>23</v>
      </c>
      <c r="M102" s="9" t="s">
        <v>51</v>
      </c>
      <c r="N102" s="9" t="s">
        <v>43</v>
      </c>
      <c r="O102" s="9" t="s">
        <v>67</v>
      </c>
      <c r="P102" s="9" t="s">
        <v>53</v>
      </c>
      <c r="Q102" s="9" t="s">
        <v>24</v>
      </c>
      <c r="R102" s="9" t="s">
        <v>41</v>
      </c>
    </row>
    <row r="103" spans="1:18" ht="22.5" customHeight="1" x14ac:dyDescent="0.35">
      <c r="A103" s="4">
        <v>3</v>
      </c>
      <c r="B103" s="6" t="s">
        <v>220</v>
      </c>
      <c r="C103" s="7">
        <v>37</v>
      </c>
      <c r="D103" s="6" t="s">
        <v>37</v>
      </c>
      <c r="E103" s="6" t="s">
        <v>38</v>
      </c>
      <c r="F103" s="8">
        <v>4</v>
      </c>
      <c r="G103" s="7">
        <v>5</v>
      </c>
      <c r="H103" s="7">
        <v>5</v>
      </c>
      <c r="I103" s="7">
        <v>5</v>
      </c>
      <c r="J103" s="7">
        <v>5</v>
      </c>
      <c r="K103" s="7">
        <v>4</v>
      </c>
      <c r="L103" s="7">
        <f>SUM(Data_Gabungan[[#This Row],[Y1) Jika menerima undangan bergabung sebagai anggota HPFP, saya berniat menerimanya.]:[Y5) Saya berniat merekomendasikan keanggotaan HPFP kepada rekan sejawat saya.]])</f>
        <v>24</v>
      </c>
      <c r="M103" s="6" t="s">
        <v>51</v>
      </c>
      <c r="N103" s="6" t="s">
        <v>43</v>
      </c>
      <c r="O103" s="6" t="s">
        <v>71</v>
      </c>
      <c r="P103" s="6" t="s">
        <v>53</v>
      </c>
      <c r="Q103" s="6" t="s">
        <v>28</v>
      </c>
      <c r="R103" s="6" t="s">
        <v>41</v>
      </c>
    </row>
    <row r="104" spans="1:18" ht="22.5" customHeight="1" x14ac:dyDescent="0.35">
      <c r="A104" s="4">
        <v>3</v>
      </c>
      <c r="B104" s="9" t="s">
        <v>221</v>
      </c>
      <c r="C104" s="10">
        <v>33</v>
      </c>
      <c r="D104" s="9" t="s">
        <v>18</v>
      </c>
      <c r="E104" s="9" t="s">
        <v>38</v>
      </c>
      <c r="F104" s="8">
        <v>5</v>
      </c>
      <c r="G104" s="10">
        <v>4</v>
      </c>
      <c r="H104" s="10">
        <v>5</v>
      </c>
      <c r="I104" s="10">
        <v>5</v>
      </c>
      <c r="J104" s="10">
        <v>4</v>
      </c>
      <c r="K104" s="10">
        <v>5</v>
      </c>
      <c r="L104" s="10">
        <f>SUM(Data_Gabungan[[#This Row],[Y1) Jika menerima undangan bergabung sebagai anggota HPFP, saya berniat menerimanya.]:[Y5) Saya berniat merekomendasikan keanggotaan HPFP kepada rekan sejawat saya.]])</f>
        <v>23</v>
      </c>
      <c r="M104" s="9" t="s">
        <v>51</v>
      </c>
      <c r="N104" s="9" t="s">
        <v>43</v>
      </c>
      <c r="O104" s="9" t="s">
        <v>77</v>
      </c>
      <c r="P104" s="9" t="s">
        <v>53</v>
      </c>
      <c r="Q104" s="9" t="s">
        <v>24</v>
      </c>
      <c r="R104" s="9" t="s">
        <v>41</v>
      </c>
    </row>
    <row r="105" spans="1:18" ht="22.5" customHeight="1" x14ac:dyDescent="0.35">
      <c r="A105" s="4">
        <v>3</v>
      </c>
      <c r="B105" s="6" t="s">
        <v>222</v>
      </c>
      <c r="C105" s="7">
        <v>35</v>
      </c>
      <c r="D105" s="6" t="s">
        <v>37</v>
      </c>
      <c r="E105" s="6" t="s">
        <v>38</v>
      </c>
      <c r="F105" s="8">
        <v>5</v>
      </c>
      <c r="G105" s="7">
        <v>5</v>
      </c>
      <c r="H105" s="7">
        <v>5</v>
      </c>
      <c r="I105" s="7">
        <v>5</v>
      </c>
      <c r="J105" s="7">
        <v>4</v>
      </c>
      <c r="K105" s="7">
        <v>4</v>
      </c>
      <c r="L105" s="7">
        <f>SUM(Data_Gabungan[[#This Row],[Y1) Jika menerima undangan bergabung sebagai anggota HPFP, saya berniat menerimanya.]:[Y5) Saya berniat merekomendasikan keanggotaan HPFP kepada rekan sejawat saya.]])</f>
        <v>23</v>
      </c>
      <c r="M105" s="6" t="s">
        <v>20</v>
      </c>
      <c r="N105" s="6" t="s">
        <v>43</v>
      </c>
      <c r="O105" s="6" t="s">
        <v>83</v>
      </c>
      <c r="P105" s="6" t="s">
        <v>40</v>
      </c>
      <c r="Q105" s="6" t="s">
        <v>24</v>
      </c>
      <c r="R105" s="6" t="s">
        <v>41</v>
      </c>
    </row>
    <row r="106" spans="1:18" ht="22.5" customHeight="1" x14ac:dyDescent="0.35">
      <c r="A106" s="4">
        <v>3</v>
      </c>
      <c r="B106" s="9" t="s">
        <v>223</v>
      </c>
      <c r="C106" s="10">
        <v>31</v>
      </c>
      <c r="D106" s="9" t="s">
        <v>37</v>
      </c>
      <c r="E106" s="9" t="s">
        <v>19</v>
      </c>
      <c r="F106" s="8">
        <v>5</v>
      </c>
      <c r="G106" s="10">
        <v>4</v>
      </c>
      <c r="H106" s="10">
        <v>4</v>
      </c>
      <c r="I106" s="10">
        <v>5</v>
      </c>
      <c r="J106" s="10">
        <v>5</v>
      </c>
      <c r="K106" s="10">
        <v>5</v>
      </c>
      <c r="L106" s="10">
        <f>SUM(Data_Gabungan[[#This Row],[Y1) Jika menerima undangan bergabung sebagai anggota HPFP, saya berniat menerimanya.]:[Y5) Saya berniat merekomendasikan keanggotaan HPFP kepada rekan sejawat saya.]])</f>
        <v>23</v>
      </c>
      <c r="M106" s="9" t="s">
        <v>20</v>
      </c>
      <c r="N106" s="9" t="s">
        <v>43</v>
      </c>
      <c r="O106" s="9" t="s">
        <v>224</v>
      </c>
      <c r="P106" s="9" t="s">
        <v>40</v>
      </c>
      <c r="Q106" s="9" t="s">
        <v>28</v>
      </c>
      <c r="R106" s="9" t="s">
        <v>41</v>
      </c>
    </row>
    <row r="107" spans="1:18" ht="22.5" customHeight="1" x14ac:dyDescent="0.35">
      <c r="A107" s="4">
        <v>3</v>
      </c>
      <c r="B107" s="6" t="s">
        <v>225</v>
      </c>
      <c r="C107" s="7">
        <v>36</v>
      </c>
      <c r="D107" s="6" t="s">
        <v>18</v>
      </c>
      <c r="E107" s="6" t="s">
        <v>38</v>
      </c>
      <c r="F107" s="8">
        <v>5</v>
      </c>
      <c r="G107" s="7">
        <v>5</v>
      </c>
      <c r="H107" s="7">
        <v>5</v>
      </c>
      <c r="I107" s="7">
        <v>5</v>
      </c>
      <c r="J107" s="7">
        <v>4</v>
      </c>
      <c r="K107" s="7">
        <v>4</v>
      </c>
      <c r="L107" s="7">
        <f>SUM(Data_Gabungan[[#This Row],[Y1) Jika menerima undangan bergabung sebagai anggota HPFP, saya berniat menerimanya.]:[Y5) Saya berniat merekomendasikan keanggotaan HPFP kepada rekan sejawat saya.]])</f>
        <v>23</v>
      </c>
      <c r="M107" s="6" t="s">
        <v>20</v>
      </c>
      <c r="N107" s="6" t="s">
        <v>43</v>
      </c>
      <c r="O107" s="6" t="s">
        <v>226</v>
      </c>
      <c r="P107" s="6" t="s">
        <v>53</v>
      </c>
      <c r="Q107" s="6" t="s">
        <v>28</v>
      </c>
      <c r="R107" s="6" t="s">
        <v>41</v>
      </c>
    </row>
    <row r="108" spans="1:18" ht="22.5" customHeight="1" x14ac:dyDescent="0.35">
      <c r="A108" s="4">
        <v>3</v>
      </c>
      <c r="B108" s="9" t="s">
        <v>227</v>
      </c>
      <c r="C108" s="10">
        <v>33</v>
      </c>
      <c r="D108" s="9" t="s">
        <v>37</v>
      </c>
      <c r="E108" s="9" t="s">
        <v>38</v>
      </c>
      <c r="F108" s="8">
        <v>5</v>
      </c>
      <c r="G108" s="10">
        <v>5</v>
      </c>
      <c r="H108" s="10">
        <v>5</v>
      </c>
      <c r="I108" s="10">
        <v>5</v>
      </c>
      <c r="J108" s="10">
        <v>4</v>
      </c>
      <c r="K108" s="10">
        <v>5</v>
      </c>
      <c r="L108" s="10">
        <f>SUM(Data_Gabungan[[#This Row],[Y1) Jika menerima undangan bergabung sebagai anggota HPFP, saya berniat menerimanya.]:[Y5) Saya berniat merekomendasikan keanggotaan HPFP kepada rekan sejawat saya.]])</f>
        <v>24</v>
      </c>
      <c r="M108" s="9" t="s">
        <v>51</v>
      </c>
      <c r="N108" s="9" t="s">
        <v>43</v>
      </c>
      <c r="O108" s="9" t="s">
        <v>83</v>
      </c>
      <c r="P108" s="9" t="s">
        <v>53</v>
      </c>
      <c r="Q108" s="9" t="s">
        <v>24</v>
      </c>
      <c r="R108" s="9" t="s">
        <v>41</v>
      </c>
    </row>
    <row r="109" spans="1:18" ht="22.5" customHeight="1" x14ac:dyDescent="0.35">
      <c r="A109" s="4">
        <v>3</v>
      </c>
      <c r="B109" s="6" t="s">
        <v>228</v>
      </c>
      <c r="C109" s="7">
        <v>48</v>
      </c>
      <c r="D109" s="6" t="s">
        <v>37</v>
      </c>
      <c r="E109" s="6" t="s">
        <v>38</v>
      </c>
      <c r="F109" s="8">
        <v>4</v>
      </c>
      <c r="G109" s="7">
        <v>5</v>
      </c>
      <c r="H109" s="7">
        <v>5</v>
      </c>
      <c r="I109" s="7">
        <v>5</v>
      </c>
      <c r="J109" s="7">
        <v>4</v>
      </c>
      <c r="K109" s="7">
        <v>5</v>
      </c>
      <c r="L109" s="7">
        <f>SUM(Data_Gabungan[[#This Row],[Y1) Jika menerima undangan bergabung sebagai anggota HPFP, saya berniat menerimanya.]:[Y5) Saya berniat merekomendasikan keanggotaan HPFP kepada rekan sejawat saya.]])</f>
        <v>24</v>
      </c>
      <c r="M109" s="6" t="s">
        <v>20</v>
      </c>
      <c r="N109" s="6" t="s">
        <v>21</v>
      </c>
      <c r="O109" s="6" t="s">
        <v>107</v>
      </c>
      <c r="P109" s="6" t="s">
        <v>33</v>
      </c>
      <c r="Q109" s="6" t="s">
        <v>24</v>
      </c>
      <c r="R109" s="6" t="s">
        <v>25</v>
      </c>
    </row>
    <row r="110" spans="1:18" ht="22.5" customHeight="1" x14ac:dyDescent="0.35">
      <c r="A110" s="4">
        <v>3</v>
      </c>
      <c r="B110" s="9" t="s">
        <v>229</v>
      </c>
      <c r="C110" s="10">
        <v>28</v>
      </c>
      <c r="D110" s="9" t="s">
        <v>37</v>
      </c>
      <c r="E110" s="9" t="s">
        <v>38</v>
      </c>
      <c r="F110" s="8">
        <v>5</v>
      </c>
      <c r="G110" s="10">
        <v>4</v>
      </c>
      <c r="H110" s="10">
        <v>5</v>
      </c>
      <c r="I110" s="10">
        <v>5</v>
      </c>
      <c r="J110" s="10">
        <v>5</v>
      </c>
      <c r="K110" s="10">
        <v>5</v>
      </c>
      <c r="L110" s="10">
        <f>SUM(Data_Gabungan[[#This Row],[Y1) Jika menerima undangan bergabung sebagai anggota HPFP, saya berniat menerimanya.]:[Y5) Saya berniat merekomendasikan keanggotaan HPFP kepada rekan sejawat saya.]])</f>
        <v>24</v>
      </c>
      <c r="M110" s="9" t="s">
        <v>20</v>
      </c>
      <c r="N110" s="9" t="s">
        <v>21</v>
      </c>
      <c r="O110" s="9" t="s">
        <v>230</v>
      </c>
      <c r="P110" s="9" t="s">
        <v>40</v>
      </c>
      <c r="Q110" s="9" t="s">
        <v>24</v>
      </c>
      <c r="R110" s="9" t="s">
        <v>41</v>
      </c>
    </row>
    <row r="111" spans="1:18" ht="22.5" customHeight="1" x14ac:dyDescent="0.35">
      <c r="A111" s="4">
        <v>3</v>
      </c>
      <c r="B111" s="6" t="s">
        <v>231</v>
      </c>
      <c r="C111" s="7">
        <v>36</v>
      </c>
      <c r="D111" s="6" t="s">
        <v>18</v>
      </c>
      <c r="E111" s="6" t="s">
        <v>38</v>
      </c>
      <c r="F111" s="8">
        <v>5</v>
      </c>
      <c r="G111" s="7">
        <v>5</v>
      </c>
      <c r="H111" s="7">
        <v>4</v>
      </c>
      <c r="I111" s="7">
        <v>5</v>
      </c>
      <c r="J111" s="7">
        <v>4</v>
      </c>
      <c r="K111" s="7">
        <v>5</v>
      </c>
      <c r="L111" s="7">
        <f>SUM(Data_Gabungan[[#This Row],[Y1) Jika menerima undangan bergabung sebagai anggota HPFP, saya berniat menerimanya.]:[Y5) Saya berniat merekomendasikan keanggotaan HPFP kepada rekan sejawat saya.]])</f>
        <v>23</v>
      </c>
      <c r="M111" s="6" t="s">
        <v>20</v>
      </c>
      <c r="N111" s="6" t="s">
        <v>21</v>
      </c>
      <c r="O111" s="6" t="s">
        <v>232</v>
      </c>
      <c r="P111" s="6" t="s">
        <v>23</v>
      </c>
      <c r="Q111" s="6" t="s">
        <v>24</v>
      </c>
      <c r="R111" s="6" t="s">
        <v>41</v>
      </c>
    </row>
    <row r="112" spans="1:18" ht="22.5" customHeight="1" x14ac:dyDescent="0.35">
      <c r="A112" s="4">
        <v>3</v>
      </c>
      <c r="B112" s="9" t="s">
        <v>233</v>
      </c>
      <c r="C112" s="10">
        <v>30</v>
      </c>
      <c r="D112" s="9" t="s">
        <v>37</v>
      </c>
      <c r="E112" s="9" t="s">
        <v>38</v>
      </c>
      <c r="F112" s="8">
        <v>5</v>
      </c>
      <c r="G112" s="10">
        <v>5</v>
      </c>
      <c r="H112" s="10">
        <v>4</v>
      </c>
      <c r="I112" s="10">
        <v>4</v>
      </c>
      <c r="J112" s="10">
        <v>5</v>
      </c>
      <c r="K112" s="10">
        <v>5</v>
      </c>
      <c r="L112" s="10">
        <f>SUM(Data_Gabungan[[#This Row],[Y1) Jika menerima undangan bergabung sebagai anggota HPFP, saya berniat menerimanya.]:[Y5) Saya berniat merekomendasikan keanggotaan HPFP kepada rekan sejawat saya.]])</f>
        <v>23</v>
      </c>
      <c r="M112" s="9" t="s">
        <v>20</v>
      </c>
      <c r="N112" s="9" t="s">
        <v>43</v>
      </c>
      <c r="O112" s="9" t="s">
        <v>67</v>
      </c>
      <c r="P112" s="9" t="s">
        <v>40</v>
      </c>
      <c r="Q112" s="9" t="s">
        <v>24</v>
      </c>
      <c r="R112" s="9" t="s">
        <v>41</v>
      </c>
    </row>
    <row r="113" spans="1:18" ht="22.5" customHeight="1" x14ac:dyDescent="0.35">
      <c r="A113" s="4">
        <v>3</v>
      </c>
      <c r="B113" s="6" t="s">
        <v>234</v>
      </c>
      <c r="C113" s="7">
        <v>44</v>
      </c>
      <c r="D113" s="6" t="s">
        <v>18</v>
      </c>
      <c r="E113" s="6" t="s">
        <v>19</v>
      </c>
      <c r="F113" s="8">
        <v>5</v>
      </c>
      <c r="G113" s="7">
        <v>5</v>
      </c>
      <c r="H113" s="7">
        <v>5</v>
      </c>
      <c r="I113" s="7">
        <v>5</v>
      </c>
      <c r="J113" s="7">
        <v>4</v>
      </c>
      <c r="K113" s="7">
        <v>5</v>
      </c>
      <c r="L113" s="7">
        <f>SUM(Data_Gabungan[[#This Row],[Y1) Jika menerima undangan bergabung sebagai anggota HPFP, saya berniat menerimanya.]:[Y5) Saya berniat merekomendasikan keanggotaan HPFP kepada rekan sejawat saya.]])</f>
        <v>24</v>
      </c>
      <c r="M113" s="6" t="s">
        <v>20</v>
      </c>
      <c r="N113" s="6" t="s">
        <v>21</v>
      </c>
      <c r="O113" s="6" t="s">
        <v>235</v>
      </c>
      <c r="P113" s="6" t="s">
        <v>33</v>
      </c>
      <c r="Q113" s="6" t="s">
        <v>24</v>
      </c>
      <c r="R113" s="6" t="s">
        <v>25</v>
      </c>
    </row>
    <row r="114" spans="1:18" ht="22.5" customHeight="1" x14ac:dyDescent="0.35">
      <c r="A114" s="4">
        <v>3</v>
      </c>
      <c r="B114" s="9" t="s">
        <v>236</v>
      </c>
      <c r="C114" s="10">
        <v>30</v>
      </c>
      <c r="D114" s="9" t="s">
        <v>18</v>
      </c>
      <c r="E114" s="9" t="s">
        <v>38</v>
      </c>
      <c r="F114" s="8">
        <v>5</v>
      </c>
      <c r="G114" s="10">
        <v>5</v>
      </c>
      <c r="H114" s="10">
        <v>4</v>
      </c>
      <c r="I114" s="10">
        <v>5</v>
      </c>
      <c r="J114" s="10">
        <v>4</v>
      </c>
      <c r="K114" s="10">
        <v>5</v>
      </c>
      <c r="L114" s="10">
        <f>SUM(Data_Gabungan[[#This Row],[Y1) Jika menerima undangan bergabung sebagai anggota HPFP, saya berniat menerimanya.]:[Y5) Saya berniat merekomendasikan keanggotaan HPFP kepada rekan sejawat saya.]])</f>
        <v>23</v>
      </c>
      <c r="M114" s="9" t="s">
        <v>20</v>
      </c>
      <c r="N114" s="9" t="s">
        <v>43</v>
      </c>
      <c r="O114" s="9" t="s">
        <v>87</v>
      </c>
      <c r="P114" s="9" t="s">
        <v>40</v>
      </c>
      <c r="Q114" s="9" t="s">
        <v>28</v>
      </c>
      <c r="R114" s="9" t="s">
        <v>41</v>
      </c>
    </row>
    <row r="115" spans="1:18" ht="22.5" customHeight="1" x14ac:dyDescent="0.35">
      <c r="A115" s="4">
        <v>3</v>
      </c>
      <c r="B115" s="6" t="s">
        <v>237</v>
      </c>
      <c r="C115" s="7">
        <v>32</v>
      </c>
      <c r="D115" s="6" t="s">
        <v>18</v>
      </c>
      <c r="E115" s="6" t="s">
        <v>19</v>
      </c>
      <c r="F115" s="8">
        <v>5</v>
      </c>
      <c r="G115" s="7">
        <v>5</v>
      </c>
      <c r="H115" s="7">
        <v>5</v>
      </c>
      <c r="I115" s="7">
        <v>5</v>
      </c>
      <c r="J115" s="7">
        <v>4</v>
      </c>
      <c r="K115" s="7">
        <v>5</v>
      </c>
      <c r="L115" s="7">
        <f>SUM(Data_Gabungan[[#This Row],[Y1) Jika menerima undangan bergabung sebagai anggota HPFP, saya berniat menerimanya.]:[Y5) Saya berniat merekomendasikan keanggotaan HPFP kepada rekan sejawat saya.]])</f>
        <v>24</v>
      </c>
      <c r="M115" s="6" t="s">
        <v>20</v>
      </c>
      <c r="N115" s="6" t="s">
        <v>21</v>
      </c>
      <c r="O115" s="6" t="s">
        <v>238</v>
      </c>
      <c r="P115" s="6" t="s">
        <v>40</v>
      </c>
      <c r="Q115" s="6" t="s">
        <v>24</v>
      </c>
      <c r="R115" s="6" t="s">
        <v>41</v>
      </c>
    </row>
    <row r="116" spans="1:18" ht="22.5" customHeight="1" x14ac:dyDescent="0.35">
      <c r="A116" s="4">
        <v>3</v>
      </c>
      <c r="B116" s="9" t="s">
        <v>239</v>
      </c>
      <c r="C116" s="10">
        <v>58</v>
      </c>
      <c r="D116" s="9" t="s">
        <v>18</v>
      </c>
      <c r="E116" s="9" t="s">
        <v>19</v>
      </c>
      <c r="F116" s="8">
        <v>5</v>
      </c>
      <c r="G116" s="10">
        <v>5</v>
      </c>
      <c r="H116" s="10">
        <v>5</v>
      </c>
      <c r="I116" s="10">
        <v>5</v>
      </c>
      <c r="J116" s="10">
        <v>5</v>
      </c>
      <c r="K116" s="10">
        <v>5</v>
      </c>
      <c r="L116" s="10">
        <f>SUM(Data_Gabungan[[#This Row],[Y1) Jika menerima undangan bergabung sebagai anggota HPFP, saya berniat menerimanya.]:[Y5) Saya berniat merekomendasikan keanggotaan HPFP kepada rekan sejawat saya.]])</f>
        <v>25</v>
      </c>
      <c r="M116" s="9" t="s">
        <v>20</v>
      </c>
      <c r="N116" s="9" t="s">
        <v>43</v>
      </c>
      <c r="O116" s="9" t="s">
        <v>83</v>
      </c>
      <c r="P116" s="9" t="s">
        <v>33</v>
      </c>
      <c r="Q116" s="9" t="s">
        <v>28</v>
      </c>
      <c r="R116" s="9" t="s">
        <v>25</v>
      </c>
    </row>
    <row r="117" spans="1:18" ht="22.5" customHeight="1" x14ac:dyDescent="0.35">
      <c r="A117" s="4">
        <v>3</v>
      </c>
      <c r="B117" s="6" t="s">
        <v>240</v>
      </c>
      <c r="C117" s="7">
        <v>50</v>
      </c>
      <c r="D117" s="6" t="s">
        <v>18</v>
      </c>
      <c r="E117" s="6" t="s">
        <v>38</v>
      </c>
      <c r="F117" s="8">
        <v>4</v>
      </c>
      <c r="G117" s="7">
        <v>5</v>
      </c>
      <c r="H117" s="7">
        <v>5</v>
      </c>
      <c r="I117" s="7">
        <v>4</v>
      </c>
      <c r="J117" s="7">
        <v>5</v>
      </c>
      <c r="K117" s="7">
        <v>5</v>
      </c>
      <c r="L117" s="7">
        <f>SUM(Data_Gabungan[[#This Row],[Y1) Jika menerima undangan bergabung sebagai anggota HPFP, saya berniat menerimanya.]:[Y5) Saya berniat merekomendasikan keanggotaan HPFP kepada rekan sejawat saya.]])</f>
        <v>24</v>
      </c>
      <c r="M117" s="6" t="s">
        <v>20</v>
      </c>
      <c r="N117" s="6" t="s">
        <v>21</v>
      </c>
      <c r="O117" s="6" t="s">
        <v>241</v>
      </c>
      <c r="P117" s="6" t="s">
        <v>33</v>
      </c>
      <c r="Q117" s="6" t="s">
        <v>24</v>
      </c>
      <c r="R117" s="6" t="s">
        <v>25</v>
      </c>
    </row>
    <row r="118" spans="1:18" ht="22.5" customHeight="1" x14ac:dyDescent="0.35">
      <c r="A118" s="4">
        <v>3</v>
      </c>
      <c r="B118" s="9" t="s">
        <v>242</v>
      </c>
      <c r="C118" s="10">
        <v>48</v>
      </c>
      <c r="D118" s="9" t="s">
        <v>18</v>
      </c>
      <c r="E118" s="9" t="s">
        <v>38</v>
      </c>
      <c r="F118" s="8">
        <v>4</v>
      </c>
      <c r="G118" s="10">
        <v>5</v>
      </c>
      <c r="H118" s="10">
        <v>5</v>
      </c>
      <c r="I118" s="10">
        <v>4</v>
      </c>
      <c r="J118" s="10">
        <v>4</v>
      </c>
      <c r="K118" s="10">
        <v>4</v>
      </c>
      <c r="L118" s="10">
        <f>SUM(Data_Gabungan[[#This Row],[Y1) Jika menerima undangan bergabung sebagai anggota HPFP, saya berniat menerimanya.]:[Y5) Saya berniat merekomendasikan keanggotaan HPFP kepada rekan sejawat saya.]])</f>
        <v>22</v>
      </c>
      <c r="M118" s="9" t="s">
        <v>20</v>
      </c>
      <c r="N118" s="9" t="s">
        <v>21</v>
      </c>
      <c r="O118" s="9" t="s">
        <v>180</v>
      </c>
      <c r="P118" s="9" t="s">
        <v>33</v>
      </c>
      <c r="Q118" s="9" t="s">
        <v>28</v>
      </c>
      <c r="R118" s="9" t="s">
        <v>25</v>
      </c>
    </row>
    <row r="119" spans="1:18" ht="22.5" customHeight="1" x14ac:dyDescent="0.35">
      <c r="A119" s="4">
        <v>3</v>
      </c>
      <c r="B119" s="6" t="s">
        <v>243</v>
      </c>
      <c r="C119" s="7">
        <v>45</v>
      </c>
      <c r="D119" s="6" t="s">
        <v>18</v>
      </c>
      <c r="E119" s="6" t="s">
        <v>19</v>
      </c>
      <c r="F119" s="8">
        <v>5</v>
      </c>
      <c r="G119" s="7">
        <v>4</v>
      </c>
      <c r="H119" s="7">
        <v>5</v>
      </c>
      <c r="I119" s="7">
        <v>5</v>
      </c>
      <c r="J119" s="7">
        <v>5</v>
      </c>
      <c r="K119" s="7">
        <v>5</v>
      </c>
      <c r="L119" s="7">
        <f>SUM(Data_Gabungan[[#This Row],[Y1) Jika menerima undangan bergabung sebagai anggota HPFP, saya berniat menerimanya.]:[Y5) Saya berniat merekomendasikan keanggotaan HPFP kepada rekan sejawat saya.]])</f>
        <v>24</v>
      </c>
      <c r="M119" s="6" t="s">
        <v>20</v>
      </c>
      <c r="N119" s="6" t="s">
        <v>43</v>
      </c>
      <c r="O119" s="6" t="s">
        <v>67</v>
      </c>
      <c r="P119" s="6" t="s">
        <v>33</v>
      </c>
      <c r="Q119" s="6" t="s">
        <v>24</v>
      </c>
      <c r="R119" s="6" t="s">
        <v>25</v>
      </c>
    </row>
    <row r="120" spans="1:18" ht="22.5" customHeight="1" x14ac:dyDescent="0.35">
      <c r="A120" s="4">
        <v>3</v>
      </c>
      <c r="B120" s="9" t="s">
        <v>244</v>
      </c>
      <c r="C120" s="10">
        <v>40</v>
      </c>
      <c r="D120" s="9" t="s">
        <v>18</v>
      </c>
      <c r="E120" s="9" t="s">
        <v>198</v>
      </c>
      <c r="F120" s="8">
        <v>5</v>
      </c>
      <c r="G120" s="10">
        <v>4</v>
      </c>
      <c r="H120" s="10">
        <v>5</v>
      </c>
      <c r="I120" s="10">
        <v>5</v>
      </c>
      <c r="J120" s="10">
        <v>5</v>
      </c>
      <c r="K120" s="10">
        <v>5</v>
      </c>
      <c r="L120" s="10">
        <f>SUM(Data_Gabungan[[#This Row],[Y1) Jika menerima undangan bergabung sebagai anggota HPFP, saya berniat menerimanya.]:[Y5) Saya berniat merekomendasikan keanggotaan HPFP kepada rekan sejawat saya.]])</f>
        <v>24</v>
      </c>
      <c r="M120" s="9" t="s">
        <v>51</v>
      </c>
      <c r="N120" s="9" t="s">
        <v>43</v>
      </c>
      <c r="O120" s="9" t="s">
        <v>83</v>
      </c>
      <c r="P120" s="9" t="s">
        <v>53</v>
      </c>
      <c r="Q120" s="9" t="s">
        <v>124</v>
      </c>
      <c r="R120" s="9" t="s">
        <v>125</v>
      </c>
    </row>
    <row r="121" spans="1:18" ht="22.5" customHeight="1" x14ac:dyDescent="0.35">
      <c r="A121" s="4">
        <v>3</v>
      </c>
      <c r="B121" s="6" t="s">
        <v>245</v>
      </c>
      <c r="C121" s="7">
        <v>32</v>
      </c>
      <c r="D121" s="6" t="s">
        <v>18</v>
      </c>
      <c r="E121" s="6" t="s">
        <v>38</v>
      </c>
      <c r="F121" s="8">
        <v>4</v>
      </c>
      <c r="G121" s="7">
        <v>5</v>
      </c>
      <c r="H121" s="7">
        <v>5</v>
      </c>
      <c r="I121" s="7">
        <v>5</v>
      </c>
      <c r="J121" s="7">
        <v>4</v>
      </c>
      <c r="K121" s="7">
        <v>5</v>
      </c>
      <c r="L121" s="7">
        <f>SUM(Data_Gabungan[[#This Row],[Y1) Jika menerima undangan bergabung sebagai anggota HPFP, saya berniat menerimanya.]:[Y5) Saya berniat merekomendasikan keanggotaan HPFP kepada rekan sejawat saya.]])</f>
        <v>24</v>
      </c>
      <c r="M121" s="6" t="s">
        <v>20</v>
      </c>
      <c r="N121" s="6" t="s">
        <v>21</v>
      </c>
      <c r="O121" s="6" t="s">
        <v>113</v>
      </c>
      <c r="P121" s="6" t="s">
        <v>40</v>
      </c>
      <c r="Q121" s="6" t="s">
        <v>24</v>
      </c>
      <c r="R121" s="6" t="s">
        <v>41</v>
      </c>
    </row>
    <row r="122" spans="1:18" ht="22.5" customHeight="1" x14ac:dyDescent="0.35">
      <c r="A122" s="4">
        <v>3</v>
      </c>
      <c r="B122" s="9" t="s">
        <v>246</v>
      </c>
      <c r="C122" s="10">
        <v>45</v>
      </c>
      <c r="D122" s="9" t="s">
        <v>18</v>
      </c>
      <c r="E122" s="9" t="s">
        <v>38</v>
      </c>
      <c r="F122" s="8">
        <v>4</v>
      </c>
      <c r="G122" s="10">
        <v>4</v>
      </c>
      <c r="H122" s="10">
        <v>5</v>
      </c>
      <c r="I122" s="10">
        <v>4</v>
      </c>
      <c r="J122" s="10">
        <v>4</v>
      </c>
      <c r="K122" s="10">
        <v>5</v>
      </c>
      <c r="L122" s="10">
        <f>SUM(Data_Gabungan[[#This Row],[Y1) Jika menerima undangan bergabung sebagai anggota HPFP, saya berniat menerimanya.]:[Y5) Saya berniat merekomendasikan keanggotaan HPFP kepada rekan sejawat saya.]])</f>
        <v>22</v>
      </c>
      <c r="M122" s="9" t="s">
        <v>20</v>
      </c>
      <c r="N122" s="9" t="s">
        <v>21</v>
      </c>
      <c r="O122" s="9" t="s">
        <v>247</v>
      </c>
      <c r="P122" s="9" t="s">
        <v>23</v>
      </c>
      <c r="Q122" s="9" t="s">
        <v>28</v>
      </c>
      <c r="R122" s="9" t="s">
        <v>25</v>
      </c>
    </row>
    <row r="123" spans="1:18" ht="22.5" customHeight="1" x14ac:dyDescent="0.35">
      <c r="A123" s="4">
        <v>3</v>
      </c>
      <c r="B123" s="6" t="s">
        <v>248</v>
      </c>
      <c r="C123" s="7">
        <v>38</v>
      </c>
      <c r="D123" s="6" t="s">
        <v>37</v>
      </c>
      <c r="E123" s="6" t="s">
        <v>38</v>
      </c>
      <c r="F123" s="8">
        <v>5</v>
      </c>
      <c r="G123" s="7">
        <v>5</v>
      </c>
      <c r="H123" s="7">
        <v>4</v>
      </c>
      <c r="I123" s="7">
        <v>5</v>
      </c>
      <c r="J123" s="7">
        <v>4</v>
      </c>
      <c r="K123" s="7">
        <v>5</v>
      </c>
      <c r="L123" s="7">
        <f>SUM(Data_Gabungan[[#This Row],[Y1) Jika menerima undangan bergabung sebagai anggota HPFP, saya berniat menerimanya.]:[Y5) Saya berniat merekomendasikan keanggotaan HPFP kepada rekan sejawat saya.]])</f>
        <v>23</v>
      </c>
      <c r="M123" s="6" t="s">
        <v>20</v>
      </c>
      <c r="N123" s="6" t="s">
        <v>21</v>
      </c>
      <c r="O123" s="6" t="s">
        <v>249</v>
      </c>
      <c r="P123" s="6" t="s">
        <v>23</v>
      </c>
      <c r="Q123" s="6" t="s">
        <v>24</v>
      </c>
      <c r="R123" s="6" t="s">
        <v>41</v>
      </c>
    </row>
    <row r="124" spans="1:18" ht="22.5" customHeight="1" x14ac:dyDescent="0.35">
      <c r="A124" s="4">
        <v>3</v>
      </c>
      <c r="B124" s="9" t="s">
        <v>250</v>
      </c>
      <c r="C124" s="10">
        <v>27</v>
      </c>
      <c r="D124" s="9" t="s">
        <v>37</v>
      </c>
      <c r="E124" s="9" t="s">
        <v>38</v>
      </c>
      <c r="F124" s="8">
        <v>5</v>
      </c>
      <c r="G124" s="10">
        <v>4</v>
      </c>
      <c r="H124" s="10">
        <v>4</v>
      </c>
      <c r="I124" s="10">
        <v>4</v>
      </c>
      <c r="J124" s="10">
        <v>5</v>
      </c>
      <c r="K124" s="10">
        <v>4</v>
      </c>
      <c r="L124" s="10">
        <f>SUM(Data_Gabungan[[#This Row],[Y1) Jika menerima undangan bergabung sebagai anggota HPFP, saya berniat menerimanya.]:[Y5) Saya berniat merekomendasikan keanggotaan HPFP kepada rekan sejawat saya.]])</f>
        <v>21</v>
      </c>
      <c r="M124" s="9" t="s">
        <v>51</v>
      </c>
      <c r="N124" s="9" t="s">
        <v>43</v>
      </c>
      <c r="O124" s="9" t="s">
        <v>67</v>
      </c>
      <c r="P124" s="9" t="s">
        <v>53</v>
      </c>
      <c r="Q124" s="9" t="s">
        <v>24</v>
      </c>
      <c r="R124" s="9" t="s">
        <v>41</v>
      </c>
    </row>
    <row r="125" spans="1:18" ht="22.5" customHeight="1" x14ac:dyDescent="0.35">
      <c r="A125" s="4">
        <v>3</v>
      </c>
      <c r="B125" s="6" t="s">
        <v>243</v>
      </c>
      <c r="C125" s="7">
        <v>45</v>
      </c>
      <c r="D125" s="6" t="s">
        <v>18</v>
      </c>
      <c r="E125" s="6" t="s">
        <v>19</v>
      </c>
      <c r="F125" s="8">
        <v>3</v>
      </c>
      <c r="G125" s="7">
        <v>4</v>
      </c>
      <c r="H125" s="7">
        <v>5</v>
      </c>
      <c r="I125" s="7">
        <v>4</v>
      </c>
      <c r="J125" s="7">
        <v>4</v>
      </c>
      <c r="K125" s="7">
        <v>5</v>
      </c>
      <c r="L125" s="7">
        <f>SUM(Data_Gabungan[[#This Row],[Y1) Jika menerima undangan bergabung sebagai anggota HPFP, saya berniat menerimanya.]:[Y5) Saya berniat merekomendasikan keanggotaan HPFP kepada rekan sejawat saya.]])</f>
        <v>22</v>
      </c>
      <c r="M125" s="6" t="s">
        <v>20</v>
      </c>
      <c r="N125" s="6" t="s">
        <v>21</v>
      </c>
      <c r="O125" s="6" t="s">
        <v>251</v>
      </c>
      <c r="P125" s="6" t="s">
        <v>33</v>
      </c>
      <c r="Q125" s="6" t="s">
        <v>24</v>
      </c>
      <c r="R125" s="6" t="s">
        <v>25</v>
      </c>
    </row>
    <row r="126" spans="1:18" ht="22.5" customHeight="1" x14ac:dyDescent="0.35">
      <c r="A126" s="4">
        <v>4</v>
      </c>
      <c r="B126" s="6" t="s">
        <v>252</v>
      </c>
      <c r="C126" s="7">
        <v>46</v>
      </c>
      <c r="D126" s="6" t="s">
        <v>37</v>
      </c>
      <c r="E126" s="6" t="s">
        <v>19</v>
      </c>
      <c r="F126" s="8">
        <v>5</v>
      </c>
      <c r="G126" s="7">
        <v>5</v>
      </c>
      <c r="H126" s="7">
        <v>5</v>
      </c>
      <c r="I126" s="7">
        <v>5</v>
      </c>
      <c r="J126" s="7">
        <v>2</v>
      </c>
      <c r="K126" s="7">
        <v>4</v>
      </c>
      <c r="L126" s="7">
        <f>SUM(Data_Gabungan[[#This Row],[Y1) Jika menerima undangan bergabung sebagai anggota HPFP, saya berniat menerimanya.]:[Y5) Saya berniat merekomendasikan keanggotaan HPFP kepada rekan sejawat saya.]])</f>
        <v>21</v>
      </c>
      <c r="M126" s="6" t="s">
        <v>20</v>
      </c>
      <c r="N126" s="6" t="s">
        <v>21</v>
      </c>
      <c r="O126" s="6" t="s">
        <v>253</v>
      </c>
      <c r="P126" s="6" t="s">
        <v>23</v>
      </c>
      <c r="Q126" s="6" t="s">
        <v>24</v>
      </c>
      <c r="R126" s="6" t="s">
        <v>25</v>
      </c>
    </row>
    <row r="127" spans="1:18" ht="22.5" customHeight="1" x14ac:dyDescent="0.35">
      <c r="A127" s="4">
        <v>4</v>
      </c>
      <c r="B127" s="6" t="s">
        <v>254</v>
      </c>
      <c r="C127" s="7">
        <v>37</v>
      </c>
      <c r="D127" s="6" t="s">
        <v>18</v>
      </c>
      <c r="E127" s="6" t="s">
        <v>19</v>
      </c>
      <c r="F127" s="8">
        <v>5</v>
      </c>
      <c r="G127" s="7">
        <v>4</v>
      </c>
      <c r="H127" s="7">
        <v>5</v>
      </c>
      <c r="I127" s="7">
        <v>5</v>
      </c>
      <c r="J127" s="7">
        <v>3</v>
      </c>
      <c r="K127" s="7">
        <v>5</v>
      </c>
      <c r="L127" s="7">
        <f>SUM(Data_Gabungan[[#This Row],[Y1) Jika menerima undangan bergabung sebagai anggota HPFP, saya berniat menerimanya.]:[Y5) Saya berniat merekomendasikan keanggotaan HPFP kepada rekan sejawat saya.]])</f>
        <v>22</v>
      </c>
      <c r="M127" s="6" t="s">
        <v>20</v>
      </c>
      <c r="N127" s="6" t="s">
        <v>43</v>
      </c>
      <c r="O127" s="6" t="s">
        <v>255</v>
      </c>
      <c r="P127" s="6" t="s">
        <v>40</v>
      </c>
      <c r="Q127" s="6" t="s">
        <v>24</v>
      </c>
      <c r="R127" s="6" t="s">
        <v>25</v>
      </c>
    </row>
    <row r="128" spans="1:18" ht="22.5" customHeight="1" x14ac:dyDescent="0.35">
      <c r="A128" s="4">
        <v>4</v>
      </c>
      <c r="B128" s="6" t="s">
        <v>256</v>
      </c>
      <c r="C128" s="7">
        <v>54</v>
      </c>
      <c r="D128" s="6" t="s">
        <v>18</v>
      </c>
      <c r="E128" s="6" t="s">
        <v>19</v>
      </c>
      <c r="F128" s="8">
        <v>4</v>
      </c>
      <c r="G128" s="7">
        <v>2</v>
      </c>
      <c r="H128" s="7">
        <v>2</v>
      </c>
      <c r="I128" s="7">
        <v>2</v>
      </c>
      <c r="J128" s="7">
        <v>4</v>
      </c>
      <c r="K128" s="7">
        <v>2</v>
      </c>
      <c r="L128" s="7">
        <f>SUM(Data_Gabungan[[#This Row],[Y1) Jika menerima undangan bergabung sebagai anggota HPFP, saya berniat menerimanya.]:[Y5) Saya berniat merekomendasikan keanggotaan HPFP kepada rekan sejawat saya.]])</f>
        <v>12</v>
      </c>
      <c r="M128" s="6" t="s">
        <v>20</v>
      </c>
      <c r="N128" s="6" t="s">
        <v>21</v>
      </c>
      <c r="O128" s="6" t="s">
        <v>184</v>
      </c>
      <c r="P128" s="6" t="s">
        <v>33</v>
      </c>
      <c r="Q128" s="6" t="s">
        <v>28</v>
      </c>
      <c r="R128" s="6" t="s">
        <v>25</v>
      </c>
    </row>
    <row r="129" spans="1:18" ht="22.5" customHeight="1" x14ac:dyDescent="0.35">
      <c r="A129" s="4">
        <v>4</v>
      </c>
      <c r="B129" s="6" t="s">
        <v>257</v>
      </c>
      <c r="C129" s="7">
        <v>51</v>
      </c>
      <c r="D129" s="6" t="s">
        <v>37</v>
      </c>
      <c r="E129" s="6" t="s">
        <v>19</v>
      </c>
      <c r="F129" s="8">
        <v>5</v>
      </c>
      <c r="G129" s="7">
        <v>5</v>
      </c>
      <c r="H129" s="7">
        <v>5</v>
      </c>
      <c r="I129" s="7">
        <v>5</v>
      </c>
      <c r="J129" s="7">
        <v>1</v>
      </c>
      <c r="K129" s="7">
        <v>5</v>
      </c>
      <c r="L129" s="7">
        <f>SUM(Data_Gabungan[[#This Row],[Y1) Jika menerima undangan bergabung sebagai anggota HPFP, saya berniat menerimanya.]:[Y5) Saya berniat merekomendasikan keanggotaan HPFP kepada rekan sejawat saya.]])</f>
        <v>21</v>
      </c>
      <c r="M129" s="6" t="s">
        <v>20</v>
      </c>
      <c r="N129" s="6" t="s">
        <v>21</v>
      </c>
      <c r="O129" s="6" t="s">
        <v>258</v>
      </c>
      <c r="P129" s="6" t="s">
        <v>33</v>
      </c>
      <c r="Q129" s="6" t="s">
        <v>24</v>
      </c>
      <c r="R129" s="6" t="s">
        <v>47</v>
      </c>
    </row>
    <row r="130" spans="1:18" ht="22.5" customHeight="1" x14ac:dyDescent="0.35">
      <c r="A130" s="4">
        <v>4</v>
      </c>
      <c r="B130" s="6" t="s">
        <v>381</v>
      </c>
      <c r="C130" s="7">
        <v>31</v>
      </c>
      <c r="D130" s="6" t="s">
        <v>37</v>
      </c>
      <c r="E130" s="6" t="s">
        <v>38</v>
      </c>
      <c r="F130" s="8">
        <v>5</v>
      </c>
      <c r="G130" s="7">
        <v>5</v>
      </c>
      <c r="H130" s="7">
        <v>5</v>
      </c>
      <c r="I130" s="7">
        <v>4</v>
      </c>
      <c r="J130" s="7">
        <v>2</v>
      </c>
      <c r="K130" s="7">
        <v>5</v>
      </c>
      <c r="L130" s="7">
        <f>SUM(Data_Gabungan[[#This Row],[Y1) Jika menerima undangan bergabung sebagai anggota HPFP, saya berniat menerimanya.]:[Y5) Saya berniat merekomendasikan keanggotaan HPFP kepada rekan sejawat saya.]])</f>
        <v>21</v>
      </c>
      <c r="M130" s="6" t="s">
        <v>20</v>
      </c>
      <c r="N130" s="6" t="s">
        <v>43</v>
      </c>
      <c r="O130" s="6" t="s">
        <v>259</v>
      </c>
      <c r="P130" s="6" t="s">
        <v>40</v>
      </c>
      <c r="Q130" s="6" t="s">
        <v>28</v>
      </c>
      <c r="R130" s="6" t="s">
        <v>41</v>
      </c>
    </row>
    <row r="131" spans="1:18" ht="22.5" customHeight="1" x14ac:dyDescent="0.35">
      <c r="A131" s="4">
        <v>4</v>
      </c>
      <c r="B131" s="6" t="s">
        <v>260</v>
      </c>
      <c r="C131" s="7">
        <v>41</v>
      </c>
      <c r="D131" s="6" t="s">
        <v>18</v>
      </c>
      <c r="E131" s="6" t="s">
        <v>19</v>
      </c>
      <c r="F131" s="8">
        <v>5</v>
      </c>
      <c r="G131" s="7">
        <v>5</v>
      </c>
      <c r="H131" s="7">
        <v>5</v>
      </c>
      <c r="I131" s="7">
        <v>5</v>
      </c>
      <c r="J131" s="7">
        <v>1</v>
      </c>
      <c r="K131" s="7">
        <v>4</v>
      </c>
      <c r="L131" s="7">
        <f>SUM(Data_Gabungan[[#This Row],[Y1) Jika menerima undangan bergabung sebagai anggota HPFP, saya berniat menerimanya.]:[Y5) Saya berniat merekomendasikan keanggotaan HPFP kepada rekan sejawat saya.]])</f>
        <v>20</v>
      </c>
      <c r="M131" s="6" t="s">
        <v>20</v>
      </c>
      <c r="N131" s="6" t="s">
        <v>43</v>
      </c>
      <c r="O131" s="6" t="s">
        <v>261</v>
      </c>
      <c r="P131" s="6" t="s">
        <v>23</v>
      </c>
      <c r="Q131" s="6" t="s">
        <v>28</v>
      </c>
      <c r="R131" s="6" t="s">
        <v>25</v>
      </c>
    </row>
    <row r="132" spans="1:18" ht="22.5" customHeight="1" x14ac:dyDescent="0.35">
      <c r="A132" s="4">
        <v>4</v>
      </c>
      <c r="B132" s="6" t="s">
        <v>262</v>
      </c>
      <c r="C132" s="7">
        <v>27</v>
      </c>
      <c r="D132" s="6" t="s">
        <v>37</v>
      </c>
      <c r="E132" s="6" t="s">
        <v>38</v>
      </c>
      <c r="F132" s="8">
        <v>4</v>
      </c>
      <c r="G132" s="7">
        <v>4</v>
      </c>
      <c r="H132" s="7">
        <v>4</v>
      </c>
      <c r="I132" s="7">
        <v>5</v>
      </c>
      <c r="J132" s="7">
        <v>1</v>
      </c>
      <c r="K132" s="7">
        <v>4</v>
      </c>
      <c r="L132" s="7">
        <f>SUM(Data_Gabungan[[#This Row],[Y1) Jika menerima undangan bergabung sebagai anggota HPFP, saya berniat menerimanya.]:[Y5) Saya berniat merekomendasikan keanggotaan HPFP kepada rekan sejawat saya.]])</f>
        <v>18</v>
      </c>
      <c r="M132" s="6" t="s">
        <v>20</v>
      </c>
      <c r="N132" s="6" t="s">
        <v>43</v>
      </c>
      <c r="O132" s="6" t="s">
        <v>263</v>
      </c>
      <c r="P132" s="6" t="s">
        <v>137</v>
      </c>
      <c r="Q132" s="6" t="s">
        <v>24</v>
      </c>
      <c r="R132" s="6" t="s">
        <v>41</v>
      </c>
    </row>
    <row r="133" spans="1:18" ht="22.5" customHeight="1" x14ac:dyDescent="0.35">
      <c r="A133" s="4">
        <v>4</v>
      </c>
      <c r="B133" s="6" t="s">
        <v>264</v>
      </c>
      <c r="C133" s="7">
        <v>49</v>
      </c>
      <c r="D133" s="6" t="s">
        <v>37</v>
      </c>
      <c r="E133" s="6" t="s">
        <v>19</v>
      </c>
      <c r="F133" s="8">
        <v>5</v>
      </c>
      <c r="G133" s="7">
        <v>5</v>
      </c>
      <c r="H133" s="7">
        <v>5</v>
      </c>
      <c r="I133" s="7">
        <v>5</v>
      </c>
      <c r="J133" s="7">
        <v>1</v>
      </c>
      <c r="K133" s="7">
        <v>5</v>
      </c>
      <c r="L133" s="7">
        <f>SUM(Data_Gabungan[[#This Row],[Y1) Jika menerima undangan bergabung sebagai anggota HPFP, saya berniat menerimanya.]:[Y5) Saya berniat merekomendasikan keanggotaan HPFP kepada rekan sejawat saya.]])</f>
        <v>21</v>
      </c>
      <c r="M133" s="6" t="s">
        <v>20</v>
      </c>
      <c r="N133" s="6" t="s">
        <v>21</v>
      </c>
      <c r="O133" s="6" t="s">
        <v>265</v>
      </c>
      <c r="P133" s="6" t="s">
        <v>33</v>
      </c>
      <c r="Q133" s="6" t="s">
        <v>24</v>
      </c>
      <c r="R133" s="6" t="s">
        <v>47</v>
      </c>
    </row>
    <row r="134" spans="1:18" ht="22.5" customHeight="1" x14ac:dyDescent="0.35">
      <c r="A134" s="4">
        <v>4</v>
      </c>
      <c r="B134" s="6" t="s">
        <v>266</v>
      </c>
      <c r="C134" s="7">
        <v>44</v>
      </c>
      <c r="D134" s="6" t="s">
        <v>18</v>
      </c>
      <c r="E134" s="6" t="s">
        <v>19</v>
      </c>
      <c r="F134" s="8">
        <v>5</v>
      </c>
      <c r="G134" s="7">
        <v>5</v>
      </c>
      <c r="H134" s="7">
        <v>5</v>
      </c>
      <c r="I134" s="7">
        <v>5</v>
      </c>
      <c r="J134" s="7">
        <v>1</v>
      </c>
      <c r="K134" s="7">
        <v>5</v>
      </c>
      <c r="L134" s="7">
        <f>SUM(Data_Gabungan[[#This Row],[Y1) Jika menerima undangan bergabung sebagai anggota HPFP, saya berniat menerimanya.]:[Y5) Saya berniat merekomendasikan keanggotaan HPFP kepada rekan sejawat saya.]])</f>
        <v>21</v>
      </c>
      <c r="M134" s="6" t="s">
        <v>20</v>
      </c>
      <c r="N134" s="6" t="s">
        <v>21</v>
      </c>
      <c r="O134" s="6" t="s">
        <v>267</v>
      </c>
      <c r="P134" s="6" t="s">
        <v>33</v>
      </c>
      <c r="Q134" s="6" t="s">
        <v>24</v>
      </c>
      <c r="R134" s="6" t="s">
        <v>25</v>
      </c>
    </row>
    <row r="135" spans="1:18" ht="22.5" customHeight="1" x14ac:dyDescent="0.35">
      <c r="A135" s="4">
        <v>4</v>
      </c>
      <c r="B135" s="6" t="s">
        <v>268</v>
      </c>
      <c r="C135" s="7">
        <v>31</v>
      </c>
      <c r="D135" s="6" t="s">
        <v>37</v>
      </c>
      <c r="E135" s="6" t="s">
        <v>198</v>
      </c>
      <c r="F135" s="8">
        <v>4</v>
      </c>
      <c r="G135" s="7">
        <v>3</v>
      </c>
      <c r="H135" s="7">
        <v>3</v>
      </c>
      <c r="I135" s="7">
        <v>4</v>
      </c>
      <c r="J135" s="7">
        <v>2</v>
      </c>
      <c r="K135" s="7">
        <v>3</v>
      </c>
      <c r="L135" s="7">
        <f>SUM(Data_Gabungan[[#This Row],[Y1) Jika menerima undangan bergabung sebagai anggota HPFP, saya berniat menerimanya.]:[Y5) Saya berniat merekomendasikan keanggotaan HPFP kepada rekan sejawat saya.]])</f>
        <v>15</v>
      </c>
      <c r="M135" s="6" t="s">
        <v>20</v>
      </c>
      <c r="N135" s="6" t="s">
        <v>21</v>
      </c>
      <c r="O135" s="6" t="s">
        <v>269</v>
      </c>
      <c r="P135" s="6" t="s">
        <v>53</v>
      </c>
      <c r="Q135" s="6" t="s">
        <v>270</v>
      </c>
      <c r="R135" s="6" t="s">
        <v>125</v>
      </c>
    </row>
    <row r="136" spans="1:18" ht="22.5" customHeight="1" x14ac:dyDescent="0.35">
      <c r="A136" s="4">
        <v>4</v>
      </c>
      <c r="B136" s="6" t="s">
        <v>271</v>
      </c>
      <c r="C136" s="7">
        <v>30</v>
      </c>
      <c r="D136" s="6" t="s">
        <v>18</v>
      </c>
      <c r="E136" s="6" t="s">
        <v>38</v>
      </c>
      <c r="F136" s="8">
        <v>3</v>
      </c>
      <c r="G136" s="7">
        <v>5</v>
      </c>
      <c r="H136" s="7">
        <v>4</v>
      </c>
      <c r="I136" s="7">
        <v>5</v>
      </c>
      <c r="J136" s="7">
        <v>3</v>
      </c>
      <c r="K136" s="7">
        <v>5</v>
      </c>
      <c r="L136" s="7">
        <f>SUM(Data_Gabungan[[#This Row],[Y1) Jika menerima undangan bergabung sebagai anggota HPFP, saya berniat menerimanya.]:[Y5) Saya berniat merekomendasikan keanggotaan HPFP kepada rekan sejawat saya.]])</f>
        <v>22</v>
      </c>
      <c r="M136" s="6" t="s">
        <v>20</v>
      </c>
      <c r="N136" s="6" t="s">
        <v>21</v>
      </c>
      <c r="O136" s="6" t="s">
        <v>272</v>
      </c>
      <c r="P136" s="6" t="s">
        <v>53</v>
      </c>
      <c r="Q136" s="6" t="s">
        <v>28</v>
      </c>
      <c r="R136" s="6" t="s">
        <v>41</v>
      </c>
    </row>
    <row r="137" spans="1:18" ht="22.5" customHeight="1" x14ac:dyDescent="0.35">
      <c r="A137" s="4">
        <v>4</v>
      </c>
      <c r="B137" s="6" t="s">
        <v>273</v>
      </c>
      <c r="C137" s="7">
        <v>43</v>
      </c>
      <c r="D137" s="6" t="s">
        <v>37</v>
      </c>
      <c r="E137" s="6" t="s">
        <v>19</v>
      </c>
      <c r="F137" s="8">
        <v>4</v>
      </c>
      <c r="G137" s="7">
        <v>4</v>
      </c>
      <c r="H137" s="7">
        <v>4</v>
      </c>
      <c r="I137" s="7">
        <v>5</v>
      </c>
      <c r="J137" s="7">
        <v>3</v>
      </c>
      <c r="K137" s="7">
        <v>5</v>
      </c>
      <c r="L137" s="7">
        <f>SUM(Data_Gabungan[[#This Row],[Y1) Jika menerima undangan bergabung sebagai anggota HPFP, saya berniat menerimanya.]:[Y5) Saya berniat merekomendasikan keanggotaan HPFP kepada rekan sejawat saya.]])</f>
        <v>21</v>
      </c>
      <c r="M137" s="6" t="s">
        <v>20</v>
      </c>
      <c r="N137" s="6" t="s">
        <v>21</v>
      </c>
      <c r="O137" s="6" t="s">
        <v>274</v>
      </c>
      <c r="P137" s="6" t="s">
        <v>33</v>
      </c>
      <c r="Q137" s="6" t="s">
        <v>24</v>
      </c>
      <c r="R137" s="6" t="s">
        <v>25</v>
      </c>
    </row>
    <row r="138" spans="1:18" ht="22.5" customHeight="1" x14ac:dyDescent="0.35">
      <c r="A138" s="4">
        <v>4</v>
      </c>
      <c r="B138" s="6" t="s">
        <v>275</v>
      </c>
      <c r="C138" s="7">
        <v>46</v>
      </c>
      <c r="D138" s="6" t="s">
        <v>37</v>
      </c>
      <c r="E138" s="6" t="s">
        <v>38</v>
      </c>
      <c r="F138" s="8">
        <v>5</v>
      </c>
      <c r="G138" s="7">
        <v>4</v>
      </c>
      <c r="H138" s="7">
        <v>4</v>
      </c>
      <c r="I138" s="7">
        <v>3</v>
      </c>
      <c r="J138" s="7">
        <v>3</v>
      </c>
      <c r="K138" s="7">
        <v>4</v>
      </c>
      <c r="L138" s="7">
        <f>SUM(Data_Gabungan[[#This Row],[Y1) Jika menerima undangan bergabung sebagai anggota HPFP, saya berniat menerimanya.]:[Y5) Saya berniat merekomendasikan keanggotaan HPFP kepada rekan sejawat saya.]])</f>
        <v>18</v>
      </c>
      <c r="M138" s="6" t="s">
        <v>20</v>
      </c>
      <c r="N138" s="6" t="s">
        <v>43</v>
      </c>
      <c r="O138" s="6" t="s">
        <v>77</v>
      </c>
      <c r="P138" s="6" t="s">
        <v>53</v>
      </c>
      <c r="Q138" s="6" t="s">
        <v>24</v>
      </c>
      <c r="R138" s="6" t="s">
        <v>41</v>
      </c>
    </row>
    <row r="139" spans="1:18" ht="22.5" customHeight="1" x14ac:dyDescent="0.35">
      <c r="A139" s="4">
        <v>4</v>
      </c>
      <c r="B139" s="6" t="s">
        <v>276</v>
      </c>
      <c r="C139" s="7">
        <v>35</v>
      </c>
      <c r="D139" s="6" t="s">
        <v>18</v>
      </c>
      <c r="E139" s="6" t="s">
        <v>38</v>
      </c>
      <c r="F139" s="8">
        <v>4</v>
      </c>
      <c r="G139" s="7">
        <v>5</v>
      </c>
      <c r="H139" s="7">
        <v>3</v>
      </c>
      <c r="I139" s="7">
        <v>4</v>
      </c>
      <c r="J139" s="7">
        <v>3</v>
      </c>
      <c r="K139" s="7">
        <v>5</v>
      </c>
      <c r="L139" s="7">
        <f>SUM(Data_Gabungan[[#This Row],[Y1) Jika menerima undangan bergabung sebagai anggota HPFP, saya berniat menerimanya.]:[Y5) Saya berniat merekomendasikan keanggotaan HPFP kepada rekan sejawat saya.]])</f>
        <v>20</v>
      </c>
      <c r="M139" s="6" t="s">
        <v>20</v>
      </c>
      <c r="N139" s="6" t="s">
        <v>43</v>
      </c>
      <c r="O139" s="6" t="s">
        <v>277</v>
      </c>
      <c r="P139" s="6" t="s">
        <v>53</v>
      </c>
      <c r="Q139" s="6" t="s">
        <v>28</v>
      </c>
      <c r="R139" s="6" t="s">
        <v>41</v>
      </c>
    </row>
    <row r="140" spans="1:18" ht="22.5" customHeight="1" x14ac:dyDescent="0.35">
      <c r="A140" s="4">
        <v>4</v>
      </c>
      <c r="B140" s="6" t="s">
        <v>278</v>
      </c>
      <c r="C140" s="7">
        <v>46</v>
      </c>
      <c r="D140" s="6" t="s">
        <v>37</v>
      </c>
      <c r="E140" s="6" t="s">
        <v>38</v>
      </c>
      <c r="F140" s="8">
        <v>4</v>
      </c>
      <c r="G140" s="7">
        <v>5</v>
      </c>
      <c r="H140" s="7">
        <v>4</v>
      </c>
      <c r="I140" s="7">
        <v>5</v>
      </c>
      <c r="J140" s="7">
        <v>2</v>
      </c>
      <c r="K140" s="7">
        <v>4</v>
      </c>
      <c r="L140" s="7">
        <f>SUM(Data_Gabungan[[#This Row],[Y1) Jika menerima undangan bergabung sebagai anggota HPFP, saya berniat menerimanya.]:[Y5) Saya berniat merekomendasikan keanggotaan HPFP kepada rekan sejawat saya.]])</f>
        <v>20</v>
      </c>
      <c r="M140" s="6" t="s">
        <v>20</v>
      </c>
      <c r="N140" s="6" t="s">
        <v>21</v>
      </c>
      <c r="O140" s="6" t="s">
        <v>279</v>
      </c>
      <c r="P140" s="6" t="s">
        <v>33</v>
      </c>
      <c r="Q140" s="6" t="s">
        <v>24</v>
      </c>
      <c r="R140" s="6" t="s">
        <v>25</v>
      </c>
    </row>
    <row r="141" spans="1:18" ht="22.5" customHeight="1" x14ac:dyDescent="0.35">
      <c r="A141" s="4">
        <v>4</v>
      </c>
      <c r="B141" s="6" t="s">
        <v>280</v>
      </c>
      <c r="C141" s="7">
        <v>31</v>
      </c>
      <c r="D141" s="6" t="s">
        <v>18</v>
      </c>
      <c r="E141" s="6" t="s">
        <v>38</v>
      </c>
      <c r="F141" s="8">
        <v>5</v>
      </c>
      <c r="G141" s="7">
        <v>5</v>
      </c>
      <c r="H141" s="7">
        <v>5</v>
      </c>
      <c r="I141" s="7">
        <v>5</v>
      </c>
      <c r="J141" s="7">
        <v>2</v>
      </c>
      <c r="K141" s="7">
        <v>5</v>
      </c>
      <c r="L141" s="7">
        <f>SUM(Data_Gabungan[[#This Row],[Y1) Jika menerima undangan bergabung sebagai anggota HPFP, saya berniat menerimanya.]:[Y5) Saya berniat merekomendasikan keanggotaan HPFP kepada rekan sejawat saya.]])</f>
        <v>22</v>
      </c>
      <c r="M141" s="6" t="s">
        <v>51</v>
      </c>
      <c r="N141" s="6" t="s">
        <v>43</v>
      </c>
      <c r="O141" s="6" t="s">
        <v>83</v>
      </c>
      <c r="P141" s="6" t="s">
        <v>53</v>
      </c>
      <c r="Q141" s="6" t="s">
        <v>24</v>
      </c>
      <c r="R141" s="6" t="s">
        <v>41</v>
      </c>
    </row>
    <row r="142" spans="1:18" ht="22.5" customHeight="1" x14ac:dyDescent="0.35">
      <c r="A142" s="4">
        <v>4</v>
      </c>
      <c r="B142" s="6" t="s">
        <v>281</v>
      </c>
      <c r="C142" s="7">
        <v>45</v>
      </c>
      <c r="D142" s="6" t="s">
        <v>18</v>
      </c>
      <c r="E142" s="6" t="s">
        <v>38</v>
      </c>
      <c r="F142" s="8">
        <v>5</v>
      </c>
      <c r="G142" s="7">
        <v>4</v>
      </c>
      <c r="H142" s="7">
        <v>5</v>
      </c>
      <c r="I142" s="7">
        <v>5</v>
      </c>
      <c r="J142" s="7">
        <v>2</v>
      </c>
      <c r="K142" s="7">
        <v>5</v>
      </c>
      <c r="L142" s="7">
        <f>SUM(Data_Gabungan[[#This Row],[Y1) Jika menerima undangan bergabung sebagai anggota HPFP, saya berniat menerimanya.]:[Y5) Saya berniat merekomendasikan keanggotaan HPFP kepada rekan sejawat saya.]])</f>
        <v>21</v>
      </c>
      <c r="M142" s="6" t="s">
        <v>20</v>
      </c>
      <c r="N142" s="6" t="s">
        <v>21</v>
      </c>
      <c r="O142" s="6" t="s">
        <v>282</v>
      </c>
      <c r="P142" s="6" t="s">
        <v>23</v>
      </c>
      <c r="Q142" s="6" t="s">
        <v>28</v>
      </c>
      <c r="R142" s="6" t="s">
        <v>25</v>
      </c>
    </row>
    <row r="143" spans="1:18" ht="22.5" customHeight="1" x14ac:dyDescent="0.35">
      <c r="A143" s="4">
        <v>4</v>
      </c>
      <c r="B143" s="6" t="s">
        <v>283</v>
      </c>
      <c r="C143" s="7">
        <v>37</v>
      </c>
      <c r="D143" s="6" t="s">
        <v>37</v>
      </c>
      <c r="E143" s="6" t="s">
        <v>38</v>
      </c>
      <c r="F143" s="8">
        <v>5</v>
      </c>
      <c r="G143" s="7">
        <v>5</v>
      </c>
      <c r="H143" s="7">
        <v>4</v>
      </c>
      <c r="I143" s="7">
        <v>4</v>
      </c>
      <c r="J143" s="7">
        <v>2</v>
      </c>
      <c r="K143" s="7">
        <v>3</v>
      </c>
      <c r="L143" s="7">
        <f>SUM(Data_Gabungan[[#This Row],[Y1) Jika menerima undangan bergabung sebagai anggota HPFP, saya berniat menerimanya.]:[Y5) Saya berniat merekomendasikan keanggotaan HPFP kepada rekan sejawat saya.]])</f>
        <v>18</v>
      </c>
      <c r="M143" s="6" t="s">
        <v>20</v>
      </c>
      <c r="N143" s="6" t="s">
        <v>21</v>
      </c>
      <c r="O143" s="6" t="s">
        <v>284</v>
      </c>
      <c r="P143" s="6" t="s">
        <v>23</v>
      </c>
      <c r="Q143" s="6" t="s">
        <v>24</v>
      </c>
      <c r="R143" s="6" t="s">
        <v>25</v>
      </c>
    </row>
    <row r="144" spans="1:18" ht="22.5" customHeight="1" x14ac:dyDescent="0.35">
      <c r="A144" s="4">
        <v>4</v>
      </c>
      <c r="B144" s="6" t="s">
        <v>285</v>
      </c>
      <c r="C144" s="7">
        <v>29</v>
      </c>
      <c r="D144" s="6" t="s">
        <v>18</v>
      </c>
      <c r="E144" s="6" t="s">
        <v>38</v>
      </c>
      <c r="F144" s="8">
        <v>5</v>
      </c>
      <c r="G144" s="7">
        <v>5</v>
      </c>
      <c r="H144" s="7">
        <v>4</v>
      </c>
      <c r="I144" s="7">
        <v>5</v>
      </c>
      <c r="J144" s="7">
        <v>2</v>
      </c>
      <c r="K144" s="7">
        <v>5</v>
      </c>
      <c r="L144" s="7">
        <f>SUM(Data_Gabungan[[#This Row],[Y1) Jika menerima undangan bergabung sebagai anggota HPFP, saya berniat menerimanya.]:[Y5) Saya berniat merekomendasikan keanggotaan HPFP kepada rekan sejawat saya.]])</f>
        <v>21</v>
      </c>
      <c r="M144" s="6" t="s">
        <v>20</v>
      </c>
      <c r="N144" s="6" t="s">
        <v>21</v>
      </c>
      <c r="O144" s="6" t="s">
        <v>286</v>
      </c>
      <c r="P144" s="6" t="s">
        <v>40</v>
      </c>
      <c r="Q144" s="6" t="s">
        <v>24</v>
      </c>
      <c r="R144" s="6" t="s">
        <v>41</v>
      </c>
    </row>
    <row r="145" spans="1:18" ht="22.5" customHeight="1" x14ac:dyDescent="0.35">
      <c r="A145" s="4">
        <v>4</v>
      </c>
      <c r="B145" s="6" t="s">
        <v>287</v>
      </c>
      <c r="C145" s="7">
        <v>31</v>
      </c>
      <c r="D145" s="6" t="s">
        <v>37</v>
      </c>
      <c r="E145" s="6" t="s">
        <v>19</v>
      </c>
      <c r="F145" s="8">
        <v>5</v>
      </c>
      <c r="G145" s="7">
        <v>5</v>
      </c>
      <c r="H145" s="7">
        <v>5</v>
      </c>
      <c r="I145" s="7">
        <v>4</v>
      </c>
      <c r="J145" s="7">
        <v>2</v>
      </c>
      <c r="K145" s="7">
        <v>4</v>
      </c>
      <c r="L145" s="7">
        <f>SUM(Data_Gabungan[[#This Row],[Y1) Jika menerima undangan bergabung sebagai anggota HPFP, saya berniat menerimanya.]:[Y5) Saya berniat merekomendasikan keanggotaan HPFP kepada rekan sejawat saya.]])</f>
        <v>20</v>
      </c>
      <c r="M145" s="6" t="s">
        <v>20</v>
      </c>
      <c r="N145" s="6" t="s">
        <v>43</v>
      </c>
      <c r="O145" s="6" t="s">
        <v>83</v>
      </c>
      <c r="P145" s="6" t="s">
        <v>40</v>
      </c>
      <c r="Q145" s="6" t="s">
        <v>28</v>
      </c>
      <c r="R145" s="6" t="s">
        <v>41</v>
      </c>
    </row>
    <row r="146" spans="1:18" ht="22.5" customHeight="1" x14ac:dyDescent="0.35">
      <c r="A146" s="4">
        <v>4</v>
      </c>
      <c r="B146" s="6" t="s">
        <v>288</v>
      </c>
      <c r="C146" s="7">
        <v>29</v>
      </c>
      <c r="D146" s="6" t="s">
        <v>37</v>
      </c>
      <c r="E146" s="6" t="s">
        <v>38</v>
      </c>
      <c r="F146" s="8">
        <v>5</v>
      </c>
      <c r="G146" s="7">
        <v>4</v>
      </c>
      <c r="H146" s="7">
        <v>4</v>
      </c>
      <c r="I146" s="7">
        <v>4</v>
      </c>
      <c r="J146" s="7">
        <v>3</v>
      </c>
      <c r="K146" s="7">
        <v>4</v>
      </c>
      <c r="L146" s="7">
        <f>SUM(Data_Gabungan[[#This Row],[Y1) Jika menerima undangan bergabung sebagai anggota HPFP, saya berniat menerimanya.]:[Y5) Saya berniat merekomendasikan keanggotaan HPFP kepada rekan sejawat saya.]])</f>
        <v>19</v>
      </c>
      <c r="M146" s="6" t="s">
        <v>20</v>
      </c>
      <c r="N146" s="6" t="s">
        <v>21</v>
      </c>
      <c r="O146" s="6" t="s">
        <v>289</v>
      </c>
      <c r="P146" s="6" t="s">
        <v>53</v>
      </c>
      <c r="Q146" s="6" t="s">
        <v>28</v>
      </c>
      <c r="R146" s="6" t="s">
        <v>41</v>
      </c>
    </row>
    <row r="147" spans="1:18" ht="22.5" customHeight="1" x14ac:dyDescent="0.35">
      <c r="A147" s="4">
        <v>4</v>
      </c>
      <c r="B147" s="6" t="s">
        <v>290</v>
      </c>
      <c r="C147" s="7">
        <v>27</v>
      </c>
      <c r="D147" s="6" t="s">
        <v>18</v>
      </c>
      <c r="E147" s="6" t="s">
        <v>198</v>
      </c>
      <c r="F147" s="8">
        <v>4</v>
      </c>
      <c r="G147" s="7">
        <v>4</v>
      </c>
      <c r="H147" s="7">
        <v>4</v>
      </c>
      <c r="I147" s="7">
        <v>4</v>
      </c>
      <c r="J147" s="7">
        <v>1</v>
      </c>
      <c r="K147" s="7">
        <v>3</v>
      </c>
      <c r="L147" s="7">
        <f>SUM(Data_Gabungan[[#This Row],[Y1) Jika menerima undangan bergabung sebagai anggota HPFP, saya berniat menerimanya.]:[Y5) Saya berniat merekomendasikan keanggotaan HPFP kepada rekan sejawat saya.]])</f>
        <v>16</v>
      </c>
      <c r="M147" s="6" t="s">
        <v>20</v>
      </c>
      <c r="N147" s="6" t="s">
        <v>43</v>
      </c>
      <c r="O147" s="6" t="s">
        <v>291</v>
      </c>
      <c r="P147" s="6" t="s">
        <v>40</v>
      </c>
      <c r="Q147" s="6" t="s">
        <v>124</v>
      </c>
      <c r="R147" s="6" t="s">
        <v>125</v>
      </c>
    </row>
    <row r="148" spans="1:18" ht="22.5" customHeight="1" x14ac:dyDescent="0.35">
      <c r="A148" s="4">
        <v>4</v>
      </c>
      <c r="B148" s="6" t="s">
        <v>292</v>
      </c>
      <c r="C148" s="7">
        <v>37</v>
      </c>
      <c r="D148" s="6" t="s">
        <v>37</v>
      </c>
      <c r="E148" s="6" t="s">
        <v>38</v>
      </c>
      <c r="F148" s="8">
        <v>5</v>
      </c>
      <c r="G148" s="7">
        <v>4</v>
      </c>
      <c r="H148" s="7">
        <v>3</v>
      </c>
      <c r="I148" s="7">
        <v>3</v>
      </c>
      <c r="J148" s="7">
        <v>3</v>
      </c>
      <c r="K148" s="7">
        <v>4</v>
      </c>
      <c r="L148" s="7">
        <f>SUM(Data_Gabungan[[#This Row],[Y1) Jika menerima undangan bergabung sebagai anggota HPFP, saya berniat menerimanya.]:[Y5) Saya berniat merekomendasikan keanggotaan HPFP kepada rekan sejawat saya.]])</f>
        <v>17</v>
      </c>
      <c r="M148" s="6" t="s">
        <v>20</v>
      </c>
      <c r="N148" s="6" t="s">
        <v>21</v>
      </c>
      <c r="O148" s="6" t="s">
        <v>101</v>
      </c>
      <c r="P148" s="6" t="s">
        <v>40</v>
      </c>
      <c r="Q148" s="6" t="s">
        <v>24</v>
      </c>
      <c r="R148" s="6" t="s">
        <v>41</v>
      </c>
    </row>
    <row r="149" spans="1:18" ht="22.5" customHeight="1" x14ac:dyDescent="0.35">
      <c r="A149" s="4">
        <v>4</v>
      </c>
      <c r="B149" s="6" t="s">
        <v>293</v>
      </c>
      <c r="C149" s="7">
        <v>39</v>
      </c>
      <c r="D149" s="6" t="s">
        <v>18</v>
      </c>
      <c r="E149" s="6" t="s">
        <v>38</v>
      </c>
      <c r="F149" s="8">
        <v>4</v>
      </c>
      <c r="G149" s="7">
        <v>3</v>
      </c>
      <c r="H149" s="7">
        <v>3</v>
      </c>
      <c r="I149" s="7">
        <v>4</v>
      </c>
      <c r="J149" s="7">
        <v>3</v>
      </c>
      <c r="K149" s="7">
        <v>3</v>
      </c>
      <c r="L149" s="7">
        <f>SUM(Data_Gabungan[[#This Row],[Y1) Jika menerima undangan bergabung sebagai anggota HPFP, saya berniat menerimanya.]:[Y5) Saya berniat merekomendasikan keanggotaan HPFP kepada rekan sejawat saya.]])</f>
        <v>16</v>
      </c>
      <c r="M149" s="6" t="s">
        <v>20</v>
      </c>
      <c r="N149" s="6" t="s">
        <v>21</v>
      </c>
      <c r="O149" s="6" t="s">
        <v>289</v>
      </c>
      <c r="P149" s="6" t="s">
        <v>40</v>
      </c>
      <c r="Q149" s="6" t="s">
        <v>28</v>
      </c>
      <c r="R149" s="6" t="s">
        <v>41</v>
      </c>
    </row>
    <row r="150" spans="1:18" ht="22.5" customHeight="1" x14ac:dyDescent="0.35">
      <c r="A150" s="4">
        <v>4</v>
      </c>
      <c r="B150" s="6" t="s">
        <v>294</v>
      </c>
      <c r="C150" s="7">
        <v>39</v>
      </c>
      <c r="D150" s="6" t="s">
        <v>37</v>
      </c>
      <c r="E150" s="6" t="s">
        <v>38</v>
      </c>
      <c r="F150" s="8">
        <v>5</v>
      </c>
      <c r="G150" s="7">
        <v>3</v>
      </c>
      <c r="H150" s="7">
        <v>4</v>
      </c>
      <c r="I150" s="7">
        <v>3</v>
      </c>
      <c r="J150" s="7">
        <v>3</v>
      </c>
      <c r="K150" s="7">
        <v>4</v>
      </c>
      <c r="L150" s="7">
        <f>SUM(Data_Gabungan[[#This Row],[Y1) Jika menerima undangan bergabung sebagai anggota HPFP, saya berniat menerimanya.]:[Y5) Saya berniat merekomendasikan keanggotaan HPFP kepada rekan sejawat saya.]])</f>
        <v>17</v>
      </c>
      <c r="M150" s="6" t="s">
        <v>20</v>
      </c>
      <c r="N150" s="6" t="s">
        <v>21</v>
      </c>
      <c r="O150" s="6" t="s">
        <v>101</v>
      </c>
      <c r="P150" s="6" t="s">
        <v>23</v>
      </c>
      <c r="Q150" s="6" t="s">
        <v>24</v>
      </c>
      <c r="R150" s="6" t="s">
        <v>25</v>
      </c>
    </row>
    <row r="151" spans="1:18" ht="22.5" customHeight="1" x14ac:dyDescent="0.35">
      <c r="A151" s="4">
        <v>4</v>
      </c>
      <c r="B151" s="6" t="s">
        <v>295</v>
      </c>
      <c r="C151" s="7">
        <v>31</v>
      </c>
      <c r="D151" s="6" t="s">
        <v>37</v>
      </c>
      <c r="E151" s="6" t="s">
        <v>38</v>
      </c>
      <c r="F151" s="8">
        <v>5</v>
      </c>
      <c r="G151" s="7">
        <v>5</v>
      </c>
      <c r="H151" s="7">
        <v>4</v>
      </c>
      <c r="I151" s="7">
        <v>3</v>
      </c>
      <c r="J151" s="7">
        <v>3</v>
      </c>
      <c r="K151" s="7">
        <v>4</v>
      </c>
      <c r="L151" s="7">
        <f>SUM(Data_Gabungan[[#This Row],[Y1) Jika menerima undangan bergabung sebagai anggota HPFP, saya berniat menerimanya.]:[Y5) Saya berniat merekomendasikan keanggotaan HPFP kepada rekan sejawat saya.]])</f>
        <v>19</v>
      </c>
      <c r="M151" s="6" t="s">
        <v>20</v>
      </c>
      <c r="N151" s="6" t="s">
        <v>43</v>
      </c>
      <c r="O151" s="6" t="s">
        <v>67</v>
      </c>
      <c r="P151" s="6" t="s">
        <v>40</v>
      </c>
      <c r="Q151" s="6" t="s">
        <v>24</v>
      </c>
      <c r="R151" s="6" t="s">
        <v>25</v>
      </c>
    </row>
    <row r="152" spans="1:18" ht="22.5" customHeight="1" x14ac:dyDescent="0.35">
      <c r="A152" s="4">
        <v>4</v>
      </c>
      <c r="B152" s="6" t="s">
        <v>296</v>
      </c>
      <c r="C152" s="7">
        <v>34</v>
      </c>
      <c r="D152" s="6" t="s">
        <v>18</v>
      </c>
      <c r="E152" s="6" t="s">
        <v>38</v>
      </c>
      <c r="F152" s="8">
        <v>4</v>
      </c>
      <c r="G152" s="7">
        <v>3</v>
      </c>
      <c r="H152" s="7">
        <v>4</v>
      </c>
      <c r="I152" s="7">
        <v>3</v>
      </c>
      <c r="J152" s="7">
        <v>2</v>
      </c>
      <c r="K152" s="7">
        <v>3</v>
      </c>
      <c r="L152" s="7">
        <f>SUM(Data_Gabungan[[#This Row],[Y1) Jika menerima undangan bergabung sebagai anggota HPFP, saya berniat menerimanya.]:[Y5) Saya berniat merekomendasikan keanggotaan HPFP kepada rekan sejawat saya.]])</f>
        <v>15</v>
      </c>
      <c r="M152" s="6" t="s">
        <v>51</v>
      </c>
      <c r="N152" s="6" t="s">
        <v>43</v>
      </c>
      <c r="O152" s="6" t="s">
        <v>77</v>
      </c>
      <c r="P152" s="6" t="s">
        <v>53</v>
      </c>
      <c r="Q152" s="6" t="s">
        <v>28</v>
      </c>
      <c r="R152" s="6" t="s">
        <v>41</v>
      </c>
    </row>
    <row r="153" spans="1:18" ht="22.5" customHeight="1" x14ac:dyDescent="0.35">
      <c r="A153" s="4">
        <v>4</v>
      </c>
      <c r="B153" s="6" t="s">
        <v>297</v>
      </c>
      <c r="C153" s="7">
        <v>33</v>
      </c>
      <c r="D153" s="6" t="s">
        <v>18</v>
      </c>
      <c r="E153" s="6" t="s">
        <v>38</v>
      </c>
      <c r="F153" s="8">
        <v>5</v>
      </c>
      <c r="G153" s="7">
        <v>3</v>
      </c>
      <c r="H153" s="7">
        <v>4</v>
      </c>
      <c r="I153" s="7">
        <v>4</v>
      </c>
      <c r="J153" s="7">
        <v>2</v>
      </c>
      <c r="K153" s="7">
        <v>3</v>
      </c>
      <c r="L153" s="7">
        <f>SUM(Data_Gabungan[[#This Row],[Y1) Jika menerima undangan bergabung sebagai anggota HPFP, saya berniat menerimanya.]:[Y5) Saya berniat merekomendasikan keanggotaan HPFP kepada rekan sejawat saya.]])</f>
        <v>16</v>
      </c>
      <c r="M153" s="6" t="s">
        <v>51</v>
      </c>
      <c r="N153" s="6" t="s">
        <v>43</v>
      </c>
      <c r="O153" s="6" t="s">
        <v>67</v>
      </c>
      <c r="P153" s="6" t="s">
        <v>53</v>
      </c>
      <c r="Q153" s="6" t="s">
        <v>28</v>
      </c>
      <c r="R153" s="6" t="s">
        <v>25</v>
      </c>
    </row>
    <row r="154" spans="1:18" ht="22.5" customHeight="1" x14ac:dyDescent="0.35">
      <c r="A154" s="4">
        <v>4</v>
      </c>
      <c r="B154" s="6" t="s">
        <v>298</v>
      </c>
      <c r="C154" s="7">
        <v>37</v>
      </c>
      <c r="D154" s="6" t="s">
        <v>37</v>
      </c>
      <c r="E154" s="6" t="s">
        <v>38</v>
      </c>
      <c r="F154" s="8">
        <v>5</v>
      </c>
      <c r="G154" s="7">
        <v>4</v>
      </c>
      <c r="H154" s="7">
        <v>4</v>
      </c>
      <c r="I154" s="7">
        <v>3</v>
      </c>
      <c r="J154" s="7">
        <v>2</v>
      </c>
      <c r="K154" s="7">
        <v>3</v>
      </c>
      <c r="L154" s="7">
        <f>SUM(Data_Gabungan[[#This Row],[Y1) Jika menerima undangan bergabung sebagai anggota HPFP, saya berniat menerimanya.]:[Y5) Saya berniat merekomendasikan keanggotaan HPFP kepada rekan sejawat saya.]])</f>
        <v>16</v>
      </c>
      <c r="M154" s="6" t="s">
        <v>20</v>
      </c>
      <c r="N154" s="6" t="s">
        <v>43</v>
      </c>
      <c r="O154" s="6" t="s">
        <v>291</v>
      </c>
      <c r="P154" s="6" t="s">
        <v>40</v>
      </c>
      <c r="Q154" s="6" t="s">
        <v>24</v>
      </c>
      <c r="R154" s="6" t="s">
        <v>41</v>
      </c>
    </row>
    <row r="155" spans="1:18" ht="22.5" customHeight="1" x14ac:dyDescent="0.35">
      <c r="A155" s="4">
        <v>4</v>
      </c>
      <c r="B155" s="6" t="s">
        <v>299</v>
      </c>
      <c r="C155" s="7">
        <v>47</v>
      </c>
      <c r="D155" s="6" t="s">
        <v>18</v>
      </c>
      <c r="E155" s="6" t="s">
        <v>19</v>
      </c>
      <c r="F155" s="8">
        <v>4</v>
      </c>
      <c r="G155" s="7">
        <v>4</v>
      </c>
      <c r="H155" s="7">
        <v>3</v>
      </c>
      <c r="I155" s="7">
        <v>3</v>
      </c>
      <c r="J155" s="7">
        <v>2</v>
      </c>
      <c r="K155" s="7">
        <v>4</v>
      </c>
      <c r="L155" s="7">
        <f>SUM(Data_Gabungan[[#This Row],[Y1) Jika menerima undangan bergabung sebagai anggota HPFP, saya berniat menerimanya.]:[Y5) Saya berniat merekomendasikan keanggotaan HPFP kepada rekan sejawat saya.]])</f>
        <v>16</v>
      </c>
      <c r="M155" s="6" t="s">
        <v>20</v>
      </c>
      <c r="N155" s="6" t="s">
        <v>21</v>
      </c>
      <c r="O155" s="6" t="s">
        <v>182</v>
      </c>
      <c r="P155" s="6" t="s">
        <v>33</v>
      </c>
      <c r="Q155" s="6" t="s">
        <v>28</v>
      </c>
      <c r="R155" s="6" t="s">
        <v>25</v>
      </c>
    </row>
    <row r="156" spans="1:18" ht="22.5" customHeight="1" x14ac:dyDescent="0.35">
      <c r="A156" s="4">
        <v>4</v>
      </c>
      <c r="B156" s="6" t="s">
        <v>300</v>
      </c>
      <c r="C156" s="7">
        <v>33</v>
      </c>
      <c r="D156" s="6" t="s">
        <v>18</v>
      </c>
      <c r="E156" s="6" t="s">
        <v>38</v>
      </c>
      <c r="F156" s="8">
        <v>4</v>
      </c>
      <c r="G156" s="7">
        <v>3</v>
      </c>
      <c r="H156" s="7">
        <v>3</v>
      </c>
      <c r="I156" s="7">
        <v>4</v>
      </c>
      <c r="J156" s="7">
        <v>2</v>
      </c>
      <c r="K156" s="7">
        <v>4</v>
      </c>
      <c r="L156" s="7">
        <f>SUM(Data_Gabungan[[#This Row],[Y1) Jika menerima undangan bergabung sebagai anggota HPFP, saya berniat menerimanya.]:[Y5) Saya berniat merekomendasikan keanggotaan HPFP kepada rekan sejawat saya.]])</f>
        <v>16</v>
      </c>
      <c r="M156" s="6" t="s">
        <v>20</v>
      </c>
      <c r="N156" s="6" t="s">
        <v>43</v>
      </c>
      <c r="O156" s="6" t="s">
        <v>67</v>
      </c>
      <c r="P156" s="6" t="s">
        <v>40</v>
      </c>
      <c r="Q156" s="6" t="s">
        <v>28</v>
      </c>
      <c r="R156" s="6" t="s">
        <v>41</v>
      </c>
    </row>
    <row r="157" spans="1:18" ht="22.5" customHeight="1" x14ac:dyDescent="0.35">
      <c r="A157" s="4">
        <v>4</v>
      </c>
      <c r="B157" s="6" t="s">
        <v>301</v>
      </c>
      <c r="C157" s="7">
        <v>29</v>
      </c>
      <c r="D157" s="6" t="s">
        <v>18</v>
      </c>
      <c r="E157" s="6" t="s">
        <v>38</v>
      </c>
      <c r="F157" s="8">
        <v>4</v>
      </c>
      <c r="G157" s="7">
        <v>4</v>
      </c>
      <c r="H157" s="7">
        <v>3</v>
      </c>
      <c r="I157" s="7">
        <v>4</v>
      </c>
      <c r="J157" s="7">
        <v>2</v>
      </c>
      <c r="K157" s="7">
        <v>3</v>
      </c>
      <c r="L157" s="7">
        <f>SUM(Data_Gabungan[[#This Row],[Y1) Jika menerima undangan bergabung sebagai anggota HPFP, saya berniat menerimanya.]:[Y5) Saya berniat merekomendasikan keanggotaan HPFP kepada rekan sejawat saya.]])</f>
        <v>16</v>
      </c>
      <c r="M157" s="6" t="s">
        <v>20</v>
      </c>
      <c r="N157" s="6" t="s">
        <v>43</v>
      </c>
      <c r="O157" s="6" t="s">
        <v>87</v>
      </c>
      <c r="P157" s="6" t="s">
        <v>40</v>
      </c>
      <c r="Q157" s="6" t="s">
        <v>24</v>
      </c>
      <c r="R157" s="6" t="s">
        <v>41</v>
      </c>
    </row>
    <row r="158" spans="1:18" ht="22.5" customHeight="1" x14ac:dyDescent="0.35">
      <c r="A158" s="4">
        <v>4</v>
      </c>
      <c r="B158" s="6" t="s">
        <v>302</v>
      </c>
      <c r="C158" s="7">
        <v>38</v>
      </c>
      <c r="D158" s="6" t="s">
        <v>37</v>
      </c>
      <c r="E158" s="6" t="s">
        <v>38</v>
      </c>
      <c r="F158" s="8">
        <v>4</v>
      </c>
      <c r="G158" s="7">
        <v>3</v>
      </c>
      <c r="H158" s="7">
        <v>4</v>
      </c>
      <c r="I158" s="7">
        <v>3</v>
      </c>
      <c r="J158" s="7">
        <v>2</v>
      </c>
      <c r="K158" s="7">
        <v>3</v>
      </c>
      <c r="L158" s="7">
        <f>SUM(Data_Gabungan[[#This Row],[Y1) Jika menerima undangan bergabung sebagai anggota HPFP, saya berniat menerimanya.]:[Y5) Saya berniat merekomendasikan keanggotaan HPFP kepada rekan sejawat saya.]])</f>
        <v>15</v>
      </c>
      <c r="M158" s="6" t="s">
        <v>20</v>
      </c>
      <c r="N158" s="6" t="s">
        <v>43</v>
      </c>
      <c r="O158" s="6" t="s">
        <v>83</v>
      </c>
      <c r="P158" s="6" t="s">
        <v>23</v>
      </c>
      <c r="Q158" s="6" t="s">
        <v>28</v>
      </c>
      <c r="R158" s="6" t="s">
        <v>41</v>
      </c>
    </row>
    <row r="159" spans="1:18" ht="22.5" customHeight="1" x14ac:dyDescent="0.35">
      <c r="A159" s="4">
        <v>4</v>
      </c>
      <c r="B159" s="6" t="s">
        <v>303</v>
      </c>
      <c r="C159" s="7">
        <v>45</v>
      </c>
      <c r="D159" s="6" t="s">
        <v>18</v>
      </c>
      <c r="E159" s="6" t="s">
        <v>19</v>
      </c>
      <c r="F159" s="8">
        <v>4</v>
      </c>
      <c r="G159" s="7">
        <v>4</v>
      </c>
      <c r="H159" s="7">
        <v>4</v>
      </c>
      <c r="I159" s="7">
        <v>3</v>
      </c>
      <c r="J159" s="7">
        <v>2</v>
      </c>
      <c r="K159" s="7">
        <v>4</v>
      </c>
      <c r="L159" s="7">
        <f>SUM(Data_Gabungan[[#This Row],[Y1) Jika menerima undangan bergabung sebagai anggota HPFP, saya berniat menerimanya.]:[Y5) Saya berniat merekomendasikan keanggotaan HPFP kepada rekan sejawat saya.]])</f>
        <v>17</v>
      </c>
      <c r="M159" s="6" t="s">
        <v>20</v>
      </c>
      <c r="N159" s="6" t="s">
        <v>21</v>
      </c>
      <c r="O159" s="6" t="s">
        <v>304</v>
      </c>
      <c r="P159" s="6" t="s">
        <v>23</v>
      </c>
      <c r="Q159" s="6" t="s">
        <v>24</v>
      </c>
      <c r="R159" s="6" t="s">
        <v>25</v>
      </c>
    </row>
    <row r="160" spans="1:18" ht="22.5" customHeight="1" x14ac:dyDescent="0.35">
      <c r="A160" s="4">
        <v>4</v>
      </c>
      <c r="B160" s="6" t="s">
        <v>305</v>
      </c>
      <c r="C160" s="7">
        <v>30</v>
      </c>
      <c r="D160" s="6" t="s">
        <v>37</v>
      </c>
      <c r="E160" s="6" t="s">
        <v>38</v>
      </c>
      <c r="F160" s="8">
        <v>4</v>
      </c>
      <c r="G160" s="7">
        <v>3</v>
      </c>
      <c r="H160" s="7">
        <v>4</v>
      </c>
      <c r="I160" s="7">
        <v>4</v>
      </c>
      <c r="J160" s="7">
        <v>2</v>
      </c>
      <c r="K160" s="7">
        <v>4</v>
      </c>
      <c r="L160" s="7">
        <f>SUM(Data_Gabungan[[#This Row],[Y1) Jika menerima undangan bergabung sebagai anggota HPFP, saya berniat menerimanya.]:[Y5) Saya berniat merekomendasikan keanggotaan HPFP kepada rekan sejawat saya.]])</f>
        <v>17</v>
      </c>
      <c r="M160" s="6" t="s">
        <v>20</v>
      </c>
      <c r="N160" s="6" t="s">
        <v>43</v>
      </c>
      <c r="O160" s="6" t="s">
        <v>306</v>
      </c>
      <c r="P160" s="6" t="s">
        <v>40</v>
      </c>
      <c r="Q160" s="6" t="s">
        <v>28</v>
      </c>
      <c r="R160" s="6" t="s">
        <v>41</v>
      </c>
    </row>
    <row r="161" spans="1:18" ht="22.5" customHeight="1" x14ac:dyDescent="0.35">
      <c r="A161" s="4">
        <v>4</v>
      </c>
      <c r="B161" s="6" t="s">
        <v>307</v>
      </c>
      <c r="C161" s="7">
        <v>33</v>
      </c>
      <c r="D161" s="6" t="s">
        <v>18</v>
      </c>
      <c r="E161" s="6" t="s">
        <v>38</v>
      </c>
      <c r="F161" s="8">
        <v>5</v>
      </c>
      <c r="G161" s="7">
        <v>4</v>
      </c>
      <c r="H161" s="7">
        <v>4</v>
      </c>
      <c r="I161" s="7">
        <v>4</v>
      </c>
      <c r="J161" s="7">
        <v>3</v>
      </c>
      <c r="K161" s="7">
        <v>4</v>
      </c>
      <c r="L161" s="7">
        <f>SUM(Data_Gabungan[[#This Row],[Y1) Jika menerima undangan bergabung sebagai anggota HPFP, saya berniat menerimanya.]:[Y5) Saya berniat merekomendasikan keanggotaan HPFP kepada rekan sejawat saya.]])</f>
        <v>19</v>
      </c>
      <c r="M161" s="6" t="s">
        <v>20</v>
      </c>
      <c r="N161" s="6" t="s">
        <v>43</v>
      </c>
      <c r="O161" s="6" t="s">
        <v>77</v>
      </c>
      <c r="P161" s="6" t="s">
        <v>40</v>
      </c>
      <c r="Q161" s="6" t="s">
        <v>24</v>
      </c>
      <c r="R161" s="6" t="s">
        <v>41</v>
      </c>
    </row>
    <row r="162" spans="1:18" ht="22.5" customHeight="1" x14ac:dyDescent="0.35">
      <c r="A162" s="4">
        <v>4</v>
      </c>
      <c r="B162" s="6" t="s">
        <v>308</v>
      </c>
      <c r="C162" s="7">
        <v>32</v>
      </c>
      <c r="D162" s="6" t="s">
        <v>37</v>
      </c>
      <c r="E162" s="6" t="s">
        <v>38</v>
      </c>
      <c r="F162" s="8">
        <v>4</v>
      </c>
      <c r="G162" s="7">
        <v>4</v>
      </c>
      <c r="H162" s="7">
        <v>5</v>
      </c>
      <c r="I162" s="7">
        <v>4</v>
      </c>
      <c r="J162" s="7">
        <v>2</v>
      </c>
      <c r="K162" s="7">
        <v>5</v>
      </c>
      <c r="L162" s="7">
        <f>SUM(Data_Gabungan[[#This Row],[Y1) Jika menerima undangan bergabung sebagai anggota HPFP, saya berniat menerimanya.]:[Y5) Saya berniat merekomendasikan keanggotaan HPFP kepada rekan sejawat saya.]])</f>
        <v>20</v>
      </c>
      <c r="M162" s="6" t="s">
        <v>51</v>
      </c>
      <c r="N162" s="6" t="s">
        <v>43</v>
      </c>
      <c r="O162" s="6" t="s">
        <v>71</v>
      </c>
      <c r="P162" s="6" t="s">
        <v>53</v>
      </c>
      <c r="Q162" s="6" t="s">
        <v>24</v>
      </c>
      <c r="R162" s="6" t="s">
        <v>41</v>
      </c>
    </row>
    <row r="163" spans="1:18" ht="22.5" customHeight="1" x14ac:dyDescent="0.35">
      <c r="A163" s="4">
        <v>4</v>
      </c>
      <c r="B163" s="6" t="s">
        <v>309</v>
      </c>
      <c r="C163" s="7">
        <v>36</v>
      </c>
      <c r="D163" s="6" t="s">
        <v>18</v>
      </c>
      <c r="E163" s="6" t="s">
        <v>38</v>
      </c>
      <c r="F163" s="8">
        <v>5</v>
      </c>
      <c r="G163" s="7">
        <v>4</v>
      </c>
      <c r="H163" s="7">
        <v>3</v>
      </c>
      <c r="I163" s="7">
        <v>3</v>
      </c>
      <c r="J163" s="7">
        <v>2</v>
      </c>
      <c r="K163" s="7">
        <v>4</v>
      </c>
      <c r="L163" s="7">
        <f>SUM(Data_Gabungan[[#This Row],[Y1) Jika menerima undangan bergabung sebagai anggota HPFP, saya berniat menerimanya.]:[Y5) Saya berniat merekomendasikan keanggotaan HPFP kepada rekan sejawat saya.]])</f>
        <v>16</v>
      </c>
      <c r="M163" s="6" t="s">
        <v>20</v>
      </c>
      <c r="N163" s="6" t="s">
        <v>43</v>
      </c>
      <c r="O163" s="6" t="s">
        <v>71</v>
      </c>
      <c r="P163" s="6" t="s">
        <v>40</v>
      </c>
      <c r="Q163" s="6" t="s">
        <v>28</v>
      </c>
      <c r="R163" s="6" t="s">
        <v>41</v>
      </c>
    </row>
    <row r="164" spans="1:18" ht="22.5" customHeight="1" x14ac:dyDescent="0.35">
      <c r="A164" s="4">
        <v>4</v>
      </c>
      <c r="B164" s="6" t="s">
        <v>310</v>
      </c>
      <c r="C164" s="7">
        <v>39</v>
      </c>
      <c r="D164" s="6" t="s">
        <v>37</v>
      </c>
      <c r="E164" s="6" t="s">
        <v>38</v>
      </c>
      <c r="F164" s="8">
        <v>5</v>
      </c>
      <c r="G164" s="7">
        <v>4</v>
      </c>
      <c r="H164" s="7">
        <v>3</v>
      </c>
      <c r="I164" s="7">
        <v>3</v>
      </c>
      <c r="J164" s="7">
        <v>2</v>
      </c>
      <c r="K164" s="7">
        <v>4</v>
      </c>
      <c r="L164" s="7">
        <f>SUM(Data_Gabungan[[#This Row],[Y1) Jika menerima undangan bergabung sebagai anggota HPFP, saya berniat menerimanya.]:[Y5) Saya berniat merekomendasikan keanggotaan HPFP kepada rekan sejawat saya.]])</f>
        <v>16</v>
      </c>
      <c r="M164" s="6" t="s">
        <v>20</v>
      </c>
      <c r="N164" s="6" t="s">
        <v>43</v>
      </c>
      <c r="O164" s="6" t="s">
        <v>311</v>
      </c>
      <c r="P164" s="6" t="s">
        <v>23</v>
      </c>
      <c r="Q164" s="6" t="s">
        <v>28</v>
      </c>
      <c r="R164" s="6" t="s">
        <v>25</v>
      </c>
    </row>
    <row r="165" spans="1:18" ht="22.5" customHeight="1" x14ac:dyDescent="0.35">
      <c r="A165" s="4">
        <v>4</v>
      </c>
      <c r="B165" s="6" t="s">
        <v>312</v>
      </c>
      <c r="C165" s="7">
        <v>31</v>
      </c>
      <c r="D165" s="6" t="s">
        <v>18</v>
      </c>
      <c r="E165" s="6" t="s">
        <v>198</v>
      </c>
      <c r="F165" s="8">
        <v>5</v>
      </c>
      <c r="G165" s="7">
        <v>3</v>
      </c>
      <c r="H165" s="7">
        <v>4</v>
      </c>
      <c r="I165" s="7">
        <v>4</v>
      </c>
      <c r="J165" s="7">
        <v>2</v>
      </c>
      <c r="K165" s="7">
        <v>4</v>
      </c>
      <c r="L165" s="7">
        <f>SUM(Data_Gabungan[[#This Row],[Y1) Jika menerima undangan bergabung sebagai anggota HPFP, saya berniat menerimanya.]:[Y5) Saya berniat merekomendasikan keanggotaan HPFP kepada rekan sejawat saya.]])</f>
        <v>17</v>
      </c>
      <c r="M165" s="6" t="s">
        <v>20</v>
      </c>
      <c r="N165" s="6" t="s">
        <v>43</v>
      </c>
      <c r="O165" s="6" t="s">
        <v>77</v>
      </c>
      <c r="P165" s="6" t="s">
        <v>53</v>
      </c>
      <c r="Q165" s="6" t="s">
        <v>270</v>
      </c>
      <c r="R165" s="6" t="s">
        <v>125</v>
      </c>
    </row>
    <row r="166" spans="1:18" ht="12.75" x14ac:dyDescent="0.35"/>
    <row r="167" spans="1:18" ht="12.75" x14ac:dyDescent="0.35">
      <c r="A167" s="34" t="s">
        <v>383</v>
      </c>
    </row>
    <row r="168" spans="1:18" ht="12.75" x14ac:dyDescent="0.35"/>
    <row r="169" spans="1:18" ht="12.75" x14ac:dyDescent="0.35"/>
    <row r="170" spans="1:18" ht="12.75" x14ac:dyDescent="0.35"/>
    <row r="171" spans="1:18" ht="12.75" x14ac:dyDescent="0.35"/>
    <row r="172" spans="1:18" ht="12.75" x14ac:dyDescent="0.35"/>
    <row r="173" spans="1:18" ht="12.75" x14ac:dyDescent="0.35"/>
    <row r="174" spans="1:18" ht="12.75" x14ac:dyDescent="0.35"/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35"/>
  <cols>
    <col min="1" max="1" width="17.86328125" customWidth="1"/>
    <col min="2" max="2" width="7.6640625" customWidth="1"/>
    <col min="3" max="3" width="18.86328125" customWidth="1"/>
    <col min="4" max="4" width="8.19921875" customWidth="1"/>
    <col min="5" max="5" width="12.46484375" customWidth="1"/>
    <col min="6" max="6" width="9.6640625" customWidth="1"/>
    <col min="7" max="7" width="8.19921875" customWidth="1"/>
    <col min="8" max="8" width="8.86328125" customWidth="1"/>
    <col min="9" max="9" width="7.86328125" customWidth="1"/>
    <col min="10" max="10" width="7.796875" customWidth="1"/>
    <col min="11" max="11" width="7.33203125" customWidth="1"/>
    <col min="12" max="12" width="9.796875" customWidth="1"/>
    <col min="13" max="13" width="18.86328125" customWidth="1"/>
    <col min="14" max="14" width="36.6640625" customWidth="1"/>
    <col min="15" max="15" width="18.86328125" customWidth="1"/>
    <col min="16" max="16" width="19.6640625" customWidth="1"/>
    <col min="17" max="17" width="13.33203125" customWidth="1"/>
    <col min="18" max="22" width="18.86328125" customWidth="1"/>
  </cols>
  <sheetData>
    <row r="1" spans="1:17" ht="22.5" customHeight="1" x14ac:dyDescent="0.35">
      <c r="A1" s="1" t="s">
        <v>313</v>
      </c>
      <c r="B1" s="12" t="s">
        <v>314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315</v>
      </c>
      <c r="H1" s="1" t="s">
        <v>316</v>
      </c>
      <c r="I1" s="1" t="s">
        <v>317</v>
      </c>
      <c r="J1" s="13" t="s">
        <v>318</v>
      </c>
      <c r="K1" s="1" t="s">
        <v>319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35">
      <c r="A2" s="14" t="s">
        <v>320</v>
      </c>
      <c r="B2" s="15">
        <v>2</v>
      </c>
      <c r="C2" s="14" t="s">
        <v>17</v>
      </c>
      <c r="D2" s="14">
        <v>43</v>
      </c>
      <c r="E2" s="14" t="s">
        <v>18</v>
      </c>
      <c r="F2" s="14" t="s">
        <v>19</v>
      </c>
      <c r="G2" s="14">
        <v>5</v>
      </c>
      <c r="H2" s="14">
        <v>4</v>
      </c>
      <c r="I2" s="14">
        <v>5</v>
      </c>
      <c r="J2" s="14">
        <v>5</v>
      </c>
      <c r="K2" s="14">
        <v>5</v>
      </c>
      <c r="L2" s="14" t="s">
        <v>20</v>
      </c>
      <c r="M2" s="14" t="s">
        <v>21</v>
      </c>
      <c r="N2" s="14" t="s">
        <v>22</v>
      </c>
      <c r="O2" s="14" t="s">
        <v>23</v>
      </c>
      <c r="P2" s="14" t="s">
        <v>24</v>
      </c>
      <c r="Q2" s="14" t="s">
        <v>25</v>
      </c>
    </row>
    <row r="3" spans="1:17" ht="22.5" customHeight="1" x14ac:dyDescent="0.35">
      <c r="A3" s="14" t="s">
        <v>320</v>
      </c>
      <c r="B3" s="15">
        <v>2</v>
      </c>
      <c r="C3" s="14" t="s">
        <v>26</v>
      </c>
      <c r="D3" s="14">
        <v>48</v>
      </c>
      <c r="E3" s="14" t="s">
        <v>18</v>
      </c>
      <c r="F3" s="14" t="s">
        <v>19</v>
      </c>
      <c r="G3" s="14">
        <v>5</v>
      </c>
      <c r="H3" s="14">
        <v>5</v>
      </c>
      <c r="I3" s="14">
        <v>5</v>
      </c>
      <c r="J3" s="14">
        <v>5</v>
      </c>
      <c r="K3" s="14">
        <v>5</v>
      </c>
      <c r="L3" s="14" t="s">
        <v>20</v>
      </c>
      <c r="M3" s="14" t="s">
        <v>21</v>
      </c>
      <c r="N3" s="14" t="s">
        <v>27</v>
      </c>
      <c r="O3" s="14" t="s">
        <v>23</v>
      </c>
      <c r="P3" s="14" t="s">
        <v>28</v>
      </c>
      <c r="Q3" s="14" t="s">
        <v>25</v>
      </c>
    </row>
    <row r="4" spans="1:17" ht="22.5" customHeight="1" x14ac:dyDescent="0.35">
      <c r="A4" s="14" t="s">
        <v>320</v>
      </c>
      <c r="B4" s="15">
        <v>1</v>
      </c>
      <c r="C4" s="14" t="s">
        <v>29</v>
      </c>
      <c r="D4" s="14">
        <v>39</v>
      </c>
      <c r="E4" s="14" t="s">
        <v>18</v>
      </c>
      <c r="F4" s="14" t="s">
        <v>19</v>
      </c>
      <c r="G4" s="14">
        <v>5</v>
      </c>
      <c r="H4" s="14">
        <v>5</v>
      </c>
      <c r="I4" s="14">
        <v>5</v>
      </c>
      <c r="J4" s="14">
        <v>5</v>
      </c>
      <c r="K4" s="14">
        <v>5</v>
      </c>
      <c r="L4" s="14" t="s">
        <v>20</v>
      </c>
      <c r="M4" s="14" t="s">
        <v>21</v>
      </c>
      <c r="N4" s="14" t="s">
        <v>30</v>
      </c>
      <c r="O4" s="14" t="s">
        <v>23</v>
      </c>
      <c r="P4" s="14" t="s">
        <v>24</v>
      </c>
      <c r="Q4" s="14" t="s">
        <v>25</v>
      </c>
    </row>
    <row r="5" spans="1:17" ht="22.5" customHeight="1" x14ac:dyDescent="0.35">
      <c r="A5" s="14" t="s">
        <v>320</v>
      </c>
      <c r="B5" s="15">
        <v>1</v>
      </c>
      <c r="C5" s="14" t="s">
        <v>31</v>
      </c>
      <c r="D5" s="14">
        <v>50</v>
      </c>
      <c r="E5" s="14" t="s">
        <v>18</v>
      </c>
      <c r="F5" s="14" t="s">
        <v>19</v>
      </c>
      <c r="G5" s="14">
        <v>5</v>
      </c>
      <c r="H5" s="14">
        <v>5</v>
      </c>
      <c r="I5" s="14">
        <v>5</v>
      </c>
      <c r="J5" s="14">
        <v>5</v>
      </c>
      <c r="K5" s="14">
        <v>4</v>
      </c>
      <c r="L5" s="14" t="s">
        <v>20</v>
      </c>
      <c r="M5" s="14" t="s">
        <v>21</v>
      </c>
      <c r="N5" s="14" t="s">
        <v>32</v>
      </c>
      <c r="O5" s="14" t="s">
        <v>33</v>
      </c>
      <c r="P5" s="14" t="s">
        <v>24</v>
      </c>
      <c r="Q5" s="14" t="s">
        <v>25</v>
      </c>
    </row>
    <row r="6" spans="1:17" ht="22.5" customHeight="1" x14ac:dyDescent="0.35">
      <c r="A6" s="14" t="s">
        <v>320</v>
      </c>
      <c r="B6" s="15">
        <v>3</v>
      </c>
      <c r="C6" s="14" t="s">
        <v>34</v>
      </c>
      <c r="D6" s="14">
        <v>49</v>
      </c>
      <c r="E6" s="14" t="s">
        <v>18</v>
      </c>
      <c r="F6" s="14" t="s">
        <v>19</v>
      </c>
      <c r="G6" s="14">
        <v>3</v>
      </c>
      <c r="H6" s="14">
        <v>4</v>
      </c>
      <c r="I6" s="14">
        <v>3</v>
      </c>
      <c r="J6" s="14">
        <v>5</v>
      </c>
      <c r="K6" s="14">
        <v>3</v>
      </c>
      <c r="L6" s="14" t="s">
        <v>20</v>
      </c>
      <c r="M6" s="14" t="s">
        <v>21</v>
      </c>
      <c r="N6" s="14" t="s">
        <v>35</v>
      </c>
      <c r="O6" s="14" t="s">
        <v>23</v>
      </c>
      <c r="P6" s="14" t="s">
        <v>28</v>
      </c>
      <c r="Q6" s="14" t="s">
        <v>25</v>
      </c>
    </row>
    <row r="7" spans="1:17" ht="22.5" customHeight="1" x14ac:dyDescent="0.35">
      <c r="A7" s="14" t="s">
        <v>320</v>
      </c>
      <c r="B7" s="15">
        <v>1</v>
      </c>
      <c r="C7" s="14" t="s">
        <v>36</v>
      </c>
      <c r="D7" s="14">
        <v>34</v>
      </c>
      <c r="E7" s="14" t="s">
        <v>37</v>
      </c>
      <c r="F7" s="14" t="s">
        <v>38</v>
      </c>
      <c r="G7" s="14">
        <v>4</v>
      </c>
      <c r="H7" s="14">
        <v>4</v>
      </c>
      <c r="I7" s="14">
        <v>4</v>
      </c>
      <c r="J7" s="14">
        <v>4</v>
      </c>
      <c r="K7" s="14">
        <v>4</v>
      </c>
      <c r="L7" s="14" t="s">
        <v>20</v>
      </c>
      <c r="M7" s="14" t="s">
        <v>21</v>
      </c>
      <c r="N7" s="14" t="s">
        <v>39</v>
      </c>
      <c r="O7" s="14" t="s">
        <v>40</v>
      </c>
      <c r="P7" s="14" t="s">
        <v>28</v>
      </c>
      <c r="Q7" s="14" t="s">
        <v>41</v>
      </c>
    </row>
    <row r="8" spans="1:17" ht="22.5" customHeight="1" x14ac:dyDescent="0.35">
      <c r="A8" s="14" t="s">
        <v>320</v>
      </c>
      <c r="B8" s="15">
        <v>3</v>
      </c>
      <c r="C8" s="14" t="s">
        <v>42</v>
      </c>
      <c r="D8" s="14">
        <v>30</v>
      </c>
      <c r="E8" s="14" t="s">
        <v>18</v>
      </c>
      <c r="F8" s="14" t="s">
        <v>38</v>
      </c>
      <c r="G8" s="14">
        <v>4</v>
      </c>
      <c r="H8" s="14">
        <v>5</v>
      </c>
      <c r="I8" s="14">
        <v>4</v>
      </c>
      <c r="J8" s="14">
        <v>5</v>
      </c>
      <c r="K8" s="14">
        <v>4</v>
      </c>
      <c r="L8" s="14" t="s">
        <v>20</v>
      </c>
      <c r="M8" s="14" t="s">
        <v>43</v>
      </c>
      <c r="N8" s="14" t="s">
        <v>44</v>
      </c>
      <c r="O8" s="14" t="s">
        <v>40</v>
      </c>
      <c r="P8" s="14" t="s">
        <v>24</v>
      </c>
      <c r="Q8" s="14" t="s">
        <v>41</v>
      </c>
    </row>
    <row r="9" spans="1:17" ht="22.5" customHeight="1" x14ac:dyDescent="0.35">
      <c r="A9" s="14" t="s">
        <v>320</v>
      </c>
      <c r="B9" s="15">
        <v>2</v>
      </c>
      <c r="C9" s="14" t="s">
        <v>45</v>
      </c>
      <c r="D9" s="14">
        <v>50</v>
      </c>
      <c r="E9" s="14" t="s">
        <v>18</v>
      </c>
      <c r="F9" s="14" t="s">
        <v>19</v>
      </c>
      <c r="G9" s="14">
        <v>5</v>
      </c>
      <c r="H9" s="14">
        <v>4</v>
      </c>
      <c r="I9" s="14">
        <v>4</v>
      </c>
      <c r="J9" s="14">
        <v>4</v>
      </c>
      <c r="K9" s="14">
        <v>4</v>
      </c>
      <c r="L9" s="14" t="s">
        <v>20</v>
      </c>
      <c r="M9" s="14" t="s">
        <v>43</v>
      </c>
      <c r="N9" s="14" t="s">
        <v>46</v>
      </c>
      <c r="O9" s="14" t="s">
        <v>33</v>
      </c>
      <c r="P9" s="14" t="s">
        <v>24</v>
      </c>
      <c r="Q9" s="14" t="s">
        <v>47</v>
      </c>
    </row>
    <row r="10" spans="1:17" ht="22.5" customHeight="1" x14ac:dyDescent="0.35">
      <c r="A10" s="14" t="s">
        <v>320</v>
      </c>
      <c r="B10" s="15">
        <v>1</v>
      </c>
      <c r="C10" s="14" t="s">
        <v>48</v>
      </c>
      <c r="D10" s="14">
        <v>33</v>
      </c>
      <c r="E10" s="14" t="s">
        <v>18</v>
      </c>
      <c r="F10" s="14" t="s">
        <v>38</v>
      </c>
      <c r="G10" s="14">
        <v>5</v>
      </c>
      <c r="H10" s="14">
        <v>3</v>
      </c>
      <c r="I10" s="14">
        <v>3</v>
      </c>
      <c r="J10" s="14">
        <v>3</v>
      </c>
      <c r="K10" s="14">
        <v>2</v>
      </c>
      <c r="L10" s="14" t="s">
        <v>20</v>
      </c>
      <c r="M10" s="14" t="s">
        <v>21</v>
      </c>
      <c r="N10" s="14" t="s">
        <v>49</v>
      </c>
      <c r="O10" s="14" t="s">
        <v>40</v>
      </c>
      <c r="P10" s="14" t="s">
        <v>24</v>
      </c>
      <c r="Q10" s="14" t="s">
        <v>41</v>
      </c>
    </row>
    <row r="11" spans="1:17" ht="22.5" customHeight="1" x14ac:dyDescent="0.35">
      <c r="A11" s="14" t="s">
        <v>320</v>
      </c>
      <c r="B11" s="15">
        <v>3</v>
      </c>
      <c r="C11" s="14" t="s">
        <v>50</v>
      </c>
      <c r="D11" s="14">
        <v>26</v>
      </c>
      <c r="E11" s="14" t="s">
        <v>18</v>
      </c>
      <c r="F11" s="14" t="s">
        <v>38</v>
      </c>
      <c r="G11" s="14">
        <v>3</v>
      </c>
      <c r="H11" s="14">
        <v>3</v>
      </c>
      <c r="I11" s="14">
        <v>4</v>
      </c>
      <c r="J11" s="14">
        <v>3</v>
      </c>
      <c r="K11" s="14">
        <v>3</v>
      </c>
      <c r="L11" s="14" t="s">
        <v>51</v>
      </c>
      <c r="M11" s="14" t="s">
        <v>21</v>
      </c>
      <c r="N11" s="14" t="s">
        <v>52</v>
      </c>
      <c r="O11" s="14" t="s">
        <v>53</v>
      </c>
      <c r="P11" s="14" t="s">
        <v>24</v>
      </c>
      <c r="Q11" s="14" t="s">
        <v>41</v>
      </c>
    </row>
    <row r="12" spans="1:17" ht="22.5" customHeight="1" x14ac:dyDescent="0.35">
      <c r="A12" s="14" t="s">
        <v>320</v>
      </c>
      <c r="B12" s="15">
        <v>2</v>
      </c>
      <c r="C12" s="14" t="s">
        <v>54</v>
      </c>
      <c r="D12" s="14">
        <v>48</v>
      </c>
      <c r="E12" s="14" t="s">
        <v>37</v>
      </c>
      <c r="F12" s="14" t="s">
        <v>19</v>
      </c>
      <c r="G12" s="14">
        <v>5</v>
      </c>
      <c r="H12" s="14">
        <v>5</v>
      </c>
      <c r="I12" s="14">
        <v>4</v>
      </c>
      <c r="J12" s="14">
        <v>5</v>
      </c>
      <c r="K12" s="14">
        <v>5</v>
      </c>
      <c r="L12" s="14" t="s">
        <v>20</v>
      </c>
      <c r="M12" s="14" t="s">
        <v>21</v>
      </c>
      <c r="N12" s="14" t="s">
        <v>55</v>
      </c>
      <c r="O12" s="14" t="s">
        <v>33</v>
      </c>
      <c r="P12" s="14" t="s">
        <v>24</v>
      </c>
      <c r="Q12" s="14" t="s">
        <v>25</v>
      </c>
    </row>
    <row r="13" spans="1:17" ht="22.5" customHeight="1" x14ac:dyDescent="0.35">
      <c r="A13" s="14" t="s">
        <v>320</v>
      </c>
      <c r="B13" s="15">
        <v>2</v>
      </c>
      <c r="C13" s="14" t="s">
        <v>56</v>
      </c>
      <c r="D13" s="14">
        <v>29</v>
      </c>
      <c r="E13" s="14" t="s">
        <v>37</v>
      </c>
      <c r="F13" s="14" t="s">
        <v>38</v>
      </c>
      <c r="G13" s="14">
        <v>3</v>
      </c>
      <c r="H13" s="14">
        <v>3</v>
      </c>
      <c r="I13" s="14">
        <v>4</v>
      </c>
      <c r="J13" s="14">
        <v>4</v>
      </c>
      <c r="K13" s="14">
        <v>4</v>
      </c>
      <c r="L13" s="14" t="s">
        <v>20</v>
      </c>
      <c r="M13" s="14" t="s">
        <v>21</v>
      </c>
      <c r="N13" s="14" t="s">
        <v>57</v>
      </c>
      <c r="O13" s="14" t="s">
        <v>53</v>
      </c>
      <c r="P13" s="14" t="s">
        <v>28</v>
      </c>
      <c r="Q13" s="14" t="s">
        <v>41</v>
      </c>
    </row>
    <row r="14" spans="1:17" ht="22.5" customHeight="1" x14ac:dyDescent="0.35">
      <c r="A14" s="14" t="s">
        <v>320</v>
      </c>
      <c r="B14" s="15">
        <v>2</v>
      </c>
      <c r="C14" s="14" t="s">
        <v>58</v>
      </c>
      <c r="D14" s="14">
        <v>55</v>
      </c>
      <c r="E14" s="14" t="s">
        <v>18</v>
      </c>
      <c r="F14" s="14" t="s">
        <v>19</v>
      </c>
      <c r="G14" s="14">
        <v>5</v>
      </c>
      <c r="H14" s="14">
        <v>5</v>
      </c>
      <c r="I14" s="14">
        <v>5</v>
      </c>
      <c r="J14" s="14">
        <v>5</v>
      </c>
      <c r="K14" s="14">
        <v>5</v>
      </c>
      <c r="L14" s="14" t="s">
        <v>20</v>
      </c>
      <c r="M14" s="14" t="s">
        <v>43</v>
      </c>
      <c r="N14" s="14" t="s">
        <v>59</v>
      </c>
      <c r="O14" s="14" t="s">
        <v>33</v>
      </c>
      <c r="P14" s="14" t="s">
        <v>28</v>
      </c>
      <c r="Q14" s="14" t="s">
        <v>47</v>
      </c>
    </row>
    <row r="15" spans="1:17" ht="22.5" customHeight="1" x14ac:dyDescent="0.35">
      <c r="A15" s="14" t="s">
        <v>320</v>
      </c>
      <c r="B15" s="15">
        <v>2</v>
      </c>
      <c r="C15" s="14" t="s">
        <v>60</v>
      </c>
      <c r="D15" s="14">
        <v>27</v>
      </c>
      <c r="E15" s="14" t="s">
        <v>37</v>
      </c>
      <c r="F15" s="14" t="s">
        <v>38</v>
      </c>
      <c r="G15" s="14">
        <v>4</v>
      </c>
      <c r="H15" s="14">
        <v>4</v>
      </c>
      <c r="I15" s="14">
        <v>4</v>
      </c>
      <c r="J15" s="14">
        <v>3</v>
      </c>
      <c r="K15" s="14">
        <v>4</v>
      </c>
      <c r="L15" s="14" t="s">
        <v>20</v>
      </c>
      <c r="M15" s="14" t="s">
        <v>21</v>
      </c>
      <c r="N15" s="14" t="s">
        <v>61</v>
      </c>
      <c r="O15" s="14" t="s">
        <v>53</v>
      </c>
      <c r="P15" s="14" t="s">
        <v>28</v>
      </c>
      <c r="Q15" s="14" t="s">
        <v>41</v>
      </c>
    </row>
    <row r="16" spans="1:17" ht="22.5" customHeight="1" x14ac:dyDescent="0.35">
      <c r="A16" s="14" t="s">
        <v>320</v>
      </c>
      <c r="B16" s="15">
        <v>4</v>
      </c>
      <c r="C16" s="14" t="s">
        <v>62</v>
      </c>
      <c r="D16" s="14">
        <v>52</v>
      </c>
      <c r="E16" s="14" t="s">
        <v>37</v>
      </c>
      <c r="F16" s="14" t="s">
        <v>19</v>
      </c>
      <c r="G16" s="14">
        <v>5</v>
      </c>
      <c r="H16" s="14">
        <v>5</v>
      </c>
      <c r="I16" s="14">
        <v>5</v>
      </c>
      <c r="J16" s="14">
        <v>3</v>
      </c>
      <c r="K16" s="14">
        <v>4</v>
      </c>
      <c r="L16" s="14" t="s">
        <v>20</v>
      </c>
      <c r="M16" s="14" t="s">
        <v>21</v>
      </c>
      <c r="N16" s="14" t="s">
        <v>63</v>
      </c>
      <c r="O16" s="14" t="s">
        <v>33</v>
      </c>
      <c r="P16" s="14" t="s">
        <v>28</v>
      </c>
      <c r="Q16" s="14" t="s">
        <v>25</v>
      </c>
    </row>
    <row r="17" spans="1:17" ht="22.5" customHeight="1" x14ac:dyDescent="0.35">
      <c r="A17" s="14" t="s">
        <v>320</v>
      </c>
      <c r="B17" s="15">
        <v>2</v>
      </c>
      <c r="C17" s="14" t="s">
        <v>64</v>
      </c>
      <c r="D17" s="14">
        <v>30</v>
      </c>
      <c r="E17" s="14" t="s">
        <v>18</v>
      </c>
      <c r="F17" s="14" t="s">
        <v>38</v>
      </c>
      <c r="G17" s="14">
        <v>4</v>
      </c>
      <c r="H17" s="14">
        <v>2</v>
      </c>
      <c r="I17" s="14">
        <v>4</v>
      </c>
      <c r="J17" s="14">
        <v>4</v>
      </c>
      <c r="K17" s="14">
        <v>4</v>
      </c>
      <c r="L17" s="14" t="s">
        <v>20</v>
      </c>
      <c r="M17" s="14" t="s">
        <v>43</v>
      </c>
      <c r="N17" s="14" t="s">
        <v>65</v>
      </c>
      <c r="O17" s="14" t="s">
        <v>40</v>
      </c>
      <c r="P17" s="14" t="s">
        <v>28</v>
      </c>
      <c r="Q17" s="14" t="s">
        <v>25</v>
      </c>
    </row>
    <row r="18" spans="1:17" ht="22.5" customHeight="1" x14ac:dyDescent="0.35">
      <c r="A18" s="14" t="s">
        <v>320</v>
      </c>
      <c r="B18" s="15">
        <v>1</v>
      </c>
      <c r="C18" s="14" t="s">
        <v>66</v>
      </c>
      <c r="D18" s="14">
        <v>31</v>
      </c>
      <c r="E18" s="14" t="s">
        <v>37</v>
      </c>
      <c r="F18" s="14" t="s">
        <v>38</v>
      </c>
      <c r="G18" s="14">
        <v>5</v>
      </c>
      <c r="H18" s="14">
        <v>5</v>
      </c>
      <c r="I18" s="14">
        <v>5</v>
      </c>
      <c r="J18" s="14">
        <v>5</v>
      </c>
      <c r="K18" s="14">
        <v>5</v>
      </c>
      <c r="L18" s="14" t="s">
        <v>20</v>
      </c>
      <c r="M18" s="14" t="s">
        <v>43</v>
      </c>
      <c r="N18" s="14" t="s">
        <v>67</v>
      </c>
      <c r="O18" s="14" t="s">
        <v>40</v>
      </c>
      <c r="P18" s="14" t="s">
        <v>28</v>
      </c>
      <c r="Q18" s="14" t="s">
        <v>41</v>
      </c>
    </row>
    <row r="19" spans="1:17" ht="22.5" customHeight="1" x14ac:dyDescent="0.35">
      <c r="A19" s="14" t="s">
        <v>320</v>
      </c>
      <c r="B19" s="15">
        <v>1</v>
      </c>
      <c r="C19" s="14" t="s">
        <v>68</v>
      </c>
      <c r="D19" s="14">
        <v>31</v>
      </c>
      <c r="E19" s="14" t="s">
        <v>18</v>
      </c>
      <c r="F19" s="14" t="s">
        <v>38</v>
      </c>
      <c r="G19" s="14">
        <v>5</v>
      </c>
      <c r="H19" s="14">
        <v>5</v>
      </c>
      <c r="I19" s="14">
        <v>4</v>
      </c>
      <c r="J19" s="14">
        <v>5</v>
      </c>
      <c r="K19" s="14">
        <v>5</v>
      </c>
      <c r="L19" s="14" t="s">
        <v>51</v>
      </c>
      <c r="M19" s="14" t="s">
        <v>43</v>
      </c>
      <c r="N19" s="14" t="s">
        <v>69</v>
      </c>
      <c r="O19" s="14" t="s">
        <v>53</v>
      </c>
      <c r="P19" s="14" t="s">
        <v>28</v>
      </c>
      <c r="Q19" s="14" t="s">
        <v>41</v>
      </c>
    </row>
    <row r="20" spans="1:17" ht="22.5" customHeight="1" x14ac:dyDescent="0.35">
      <c r="A20" s="14" t="s">
        <v>320</v>
      </c>
      <c r="B20" s="15">
        <v>3</v>
      </c>
      <c r="C20" s="14" t="s">
        <v>70</v>
      </c>
      <c r="D20" s="14">
        <v>37</v>
      </c>
      <c r="E20" s="14" t="s">
        <v>18</v>
      </c>
      <c r="F20" s="14" t="s">
        <v>38</v>
      </c>
      <c r="G20" s="14">
        <v>4</v>
      </c>
      <c r="H20" s="14">
        <v>5</v>
      </c>
      <c r="I20" s="14">
        <v>5</v>
      </c>
      <c r="J20" s="14">
        <v>5</v>
      </c>
      <c r="K20" s="14">
        <v>5</v>
      </c>
      <c r="L20" s="14" t="s">
        <v>51</v>
      </c>
      <c r="M20" s="14" t="s">
        <v>43</v>
      </c>
      <c r="N20" s="14" t="s">
        <v>71</v>
      </c>
      <c r="O20" s="14" t="s">
        <v>53</v>
      </c>
      <c r="P20" s="14" t="s">
        <v>24</v>
      </c>
      <c r="Q20" s="14" t="s">
        <v>25</v>
      </c>
    </row>
    <row r="21" spans="1:17" ht="22.5" customHeight="1" x14ac:dyDescent="0.35">
      <c r="A21" s="14" t="s">
        <v>320</v>
      </c>
      <c r="B21" s="15">
        <v>1</v>
      </c>
      <c r="C21" s="14" t="s">
        <v>72</v>
      </c>
      <c r="D21" s="14">
        <v>36</v>
      </c>
      <c r="E21" s="14" t="s">
        <v>37</v>
      </c>
      <c r="F21" s="14" t="s">
        <v>38</v>
      </c>
      <c r="G21" s="14">
        <v>5</v>
      </c>
      <c r="H21" s="14">
        <v>4</v>
      </c>
      <c r="I21" s="14">
        <v>5</v>
      </c>
      <c r="J21" s="14">
        <v>4</v>
      </c>
      <c r="K21" s="14">
        <v>4</v>
      </c>
      <c r="L21" s="14" t="s">
        <v>20</v>
      </c>
      <c r="M21" s="14" t="s">
        <v>43</v>
      </c>
      <c r="N21" s="14" t="s">
        <v>73</v>
      </c>
      <c r="O21" s="14" t="s">
        <v>40</v>
      </c>
      <c r="P21" s="14" t="s">
        <v>24</v>
      </c>
      <c r="Q21" s="14" t="s">
        <v>41</v>
      </c>
    </row>
    <row r="22" spans="1:17" ht="22.5" customHeight="1" x14ac:dyDescent="0.35">
      <c r="A22" s="14" t="s">
        <v>320</v>
      </c>
      <c r="B22" s="15">
        <v>2</v>
      </c>
      <c r="C22" s="14" t="s">
        <v>74</v>
      </c>
      <c r="D22" s="14">
        <v>31</v>
      </c>
      <c r="E22" s="14" t="s">
        <v>37</v>
      </c>
      <c r="F22" s="14" t="s">
        <v>38</v>
      </c>
      <c r="G22" s="14">
        <v>5</v>
      </c>
      <c r="H22" s="14">
        <v>5</v>
      </c>
      <c r="I22" s="14">
        <v>4</v>
      </c>
      <c r="J22" s="14">
        <v>5</v>
      </c>
      <c r="K22" s="14">
        <v>5</v>
      </c>
      <c r="L22" s="14" t="s">
        <v>20</v>
      </c>
      <c r="M22" s="14" t="s">
        <v>43</v>
      </c>
      <c r="N22" s="14" t="s">
        <v>75</v>
      </c>
      <c r="O22" s="14" t="s">
        <v>40</v>
      </c>
      <c r="P22" s="14" t="s">
        <v>28</v>
      </c>
      <c r="Q22" s="14" t="s">
        <v>41</v>
      </c>
    </row>
    <row r="23" spans="1:17" ht="22.5" customHeight="1" x14ac:dyDescent="0.35">
      <c r="A23" s="14" t="s">
        <v>320</v>
      </c>
      <c r="B23" s="15">
        <v>1</v>
      </c>
      <c r="C23" s="14" t="s">
        <v>76</v>
      </c>
      <c r="D23" s="14">
        <v>31</v>
      </c>
      <c r="E23" s="14" t="s">
        <v>37</v>
      </c>
      <c r="F23" s="14" t="s">
        <v>38</v>
      </c>
      <c r="G23" s="14">
        <v>5</v>
      </c>
      <c r="H23" s="14">
        <v>5</v>
      </c>
      <c r="I23" s="14">
        <v>4</v>
      </c>
      <c r="J23" s="14">
        <v>5</v>
      </c>
      <c r="K23" s="14">
        <v>4</v>
      </c>
      <c r="L23" s="14" t="s">
        <v>51</v>
      </c>
      <c r="M23" s="14" t="s">
        <v>43</v>
      </c>
      <c r="N23" s="14" t="s">
        <v>77</v>
      </c>
      <c r="O23" s="14" t="s">
        <v>53</v>
      </c>
      <c r="P23" s="14" t="s">
        <v>28</v>
      </c>
      <c r="Q23" s="14" t="s">
        <v>41</v>
      </c>
    </row>
    <row r="24" spans="1:17" ht="22.5" customHeight="1" x14ac:dyDescent="0.35">
      <c r="A24" s="14" t="s">
        <v>320</v>
      </c>
      <c r="B24" s="15">
        <v>2</v>
      </c>
      <c r="C24" s="14" t="s">
        <v>78</v>
      </c>
      <c r="D24" s="14">
        <v>38</v>
      </c>
      <c r="E24" s="14" t="s">
        <v>18</v>
      </c>
      <c r="F24" s="14" t="s">
        <v>38</v>
      </c>
      <c r="G24" s="14">
        <v>5</v>
      </c>
      <c r="H24" s="14">
        <v>5</v>
      </c>
      <c r="I24" s="14">
        <v>5</v>
      </c>
      <c r="J24" s="14">
        <v>5</v>
      </c>
      <c r="K24" s="14">
        <v>5</v>
      </c>
      <c r="L24" s="14" t="s">
        <v>51</v>
      </c>
      <c r="M24" s="14" t="s">
        <v>43</v>
      </c>
      <c r="N24" s="14" t="s">
        <v>79</v>
      </c>
      <c r="O24" s="14" t="s">
        <v>53</v>
      </c>
      <c r="P24" s="14" t="s">
        <v>24</v>
      </c>
      <c r="Q24" s="14" t="s">
        <v>25</v>
      </c>
    </row>
    <row r="25" spans="1:17" ht="22.5" customHeight="1" x14ac:dyDescent="0.35">
      <c r="A25" s="14" t="s">
        <v>320</v>
      </c>
      <c r="B25" s="15">
        <v>2</v>
      </c>
      <c r="C25" s="14" t="s">
        <v>80</v>
      </c>
      <c r="D25" s="14">
        <v>46</v>
      </c>
      <c r="E25" s="14" t="s">
        <v>18</v>
      </c>
      <c r="F25" s="14" t="s">
        <v>38</v>
      </c>
      <c r="G25" s="14">
        <v>5</v>
      </c>
      <c r="H25" s="14">
        <v>4</v>
      </c>
      <c r="I25" s="14">
        <v>5</v>
      </c>
      <c r="J25" s="14">
        <v>5</v>
      </c>
      <c r="K25" s="14">
        <v>4</v>
      </c>
      <c r="L25" s="14" t="s">
        <v>20</v>
      </c>
      <c r="M25" s="14" t="s">
        <v>43</v>
      </c>
      <c r="N25" s="14" t="s">
        <v>81</v>
      </c>
      <c r="O25" s="14" t="s">
        <v>23</v>
      </c>
      <c r="P25" s="14" t="s">
        <v>28</v>
      </c>
      <c r="Q25" s="14" t="s">
        <v>41</v>
      </c>
    </row>
    <row r="26" spans="1:17" ht="22.5" customHeight="1" x14ac:dyDescent="0.35">
      <c r="A26" s="14" t="s">
        <v>320</v>
      </c>
      <c r="B26" s="15">
        <v>1</v>
      </c>
      <c r="C26" s="14" t="s">
        <v>82</v>
      </c>
      <c r="D26" s="14">
        <v>46</v>
      </c>
      <c r="E26" s="14" t="s">
        <v>18</v>
      </c>
      <c r="F26" s="14" t="s">
        <v>38</v>
      </c>
      <c r="G26" s="14">
        <v>4</v>
      </c>
      <c r="H26" s="14">
        <v>4</v>
      </c>
      <c r="I26" s="14">
        <v>5</v>
      </c>
      <c r="J26" s="14">
        <v>5</v>
      </c>
      <c r="K26" s="14">
        <v>5</v>
      </c>
      <c r="L26" s="14" t="s">
        <v>51</v>
      </c>
      <c r="M26" s="14" t="s">
        <v>43</v>
      </c>
      <c r="N26" s="14" t="s">
        <v>83</v>
      </c>
      <c r="O26" s="14" t="s">
        <v>53</v>
      </c>
      <c r="P26" s="14" t="s">
        <v>24</v>
      </c>
      <c r="Q26" s="14" t="s">
        <v>25</v>
      </c>
    </row>
    <row r="27" spans="1:17" ht="22.5" customHeight="1" x14ac:dyDescent="0.35">
      <c r="A27" s="14" t="s">
        <v>320</v>
      </c>
      <c r="B27" s="15">
        <v>1</v>
      </c>
      <c r="C27" s="14" t="s">
        <v>84</v>
      </c>
      <c r="D27" s="14">
        <v>30</v>
      </c>
      <c r="E27" s="14" t="s">
        <v>18</v>
      </c>
      <c r="F27" s="14" t="s">
        <v>38</v>
      </c>
      <c r="G27" s="14">
        <v>5</v>
      </c>
      <c r="H27" s="14">
        <v>5</v>
      </c>
      <c r="I27" s="14">
        <v>4</v>
      </c>
      <c r="J27" s="14">
        <v>5</v>
      </c>
      <c r="K27" s="14">
        <v>3</v>
      </c>
      <c r="L27" s="14" t="s">
        <v>20</v>
      </c>
      <c r="M27" s="14" t="s">
        <v>43</v>
      </c>
      <c r="N27" s="14" t="s">
        <v>85</v>
      </c>
      <c r="O27" s="14" t="s">
        <v>40</v>
      </c>
      <c r="P27" s="14" t="s">
        <v>24</v>
      </c>
      <c r="Q27" s="14" t="s">
        <v>41</v>
      </c>
    </row>
    <row r="28" spans="1:17" ht="22.5" customHeight="1" x14ac:dyDescent="0.35">
      <c r="A28" s="14" t="s">
        <v>320</v>
      </c>
      <c r="B28" s="15">
        <v>2</v>
      </c>
      <c r="C28" s="14" t="s">
        <v>86</v>
      </c>
      <c r="D28" s="14">
        <v>27</v>
      </c>
      <c r="E28" s="14" t="s">
        <v>18</v>
      </c>
      <c r="F28" s="14" t="s">
        <v>38</v>
      </c>
      <c r="G28" s="14">
        <v>5</v>
      </c>
      <c r="H28" s="14">
        <v>4</v>
      </c>
      <c r="I28" s="14">
        <v>4</v>
      </c>
      <c r="J28" s="14">
        <v>4</v>
      </c>
      <c r="K28" s="14">
        <v>4</v>
      </c>
      <c r="L28" s="14" t="s">
        <v>20</v>
      </c>
      <c r="M28" s="14" t="s">
        <v>43</v>
      </c>
      <c r="N28" s="14" t="s">
        <v>87</v>
      </c>
      <c r="O28" s="14" t="s">
        <v>53</v>
      </c>
      <c r="P28" s="14" t="s">
        <v>24</v>
      </c>
      <c r="Q28" s="14" t="s">
        <v>41</v>
      </c>
    </row>
    <row r="29" spans="1:17" ht="22.5" customHeight="1" x14ac:dyDescent="0.35">
      <c r="A29" s="14" t="s">
        <v>320</v>
      </c>
      <c r="B29" s="15">
        <v>1</v>
      </c>
      <c r="C29" s="14" t="s">
        <v>88</v>
      </c>
      <c r="D29" s="14">
        <v>30</v>
      </c>
      <c r="E29" s="14" t="s">
        <v>37</v>
      </c>
      <c r="F29" s="14" t="s">
        <v>38</v>
      </c>
      <c r="G29" s="14">
        <v>4</v>
      </c>
      <c r="H29" s="14">
        <v>4</v>
      </c>
      <c r="I29" s="14">
        <v>4</v>
      </c>
      <c r="J29" s="14">
        <v>5</v>
      </c>
      <c r="K29" s="14">
        <v>5</v>
      </c>
      <c r="L29" s="14" t="s">
        <v>20</v>
      </c>
      <c r="M29" s="14" t="s">
        <v>43</v>
      </c>
      <c r="N29" s="14" t="s">
        <v>77</v>
      </c>
      <c r="O29" s="14" t="s">
        <v>40</v>
      </c>
      <c r="P29" s="14" t="s">
        <v>24</v>
      </c>
      <c r="Q29" s="14" t="s">
        <v>41</v>
      </c>
    </row>
    <row r="30" spans="1:17" ht="22.5" customHeight="1" x14ac:dyDescent="0.35">
      <c r="A30" s="14" t="s">
        <v>320</v>
      </c>
      <c r="B30" s="15">
        <v>2</v>
      </c>
      <c r="C30" s="14" t="s">
        <v>89</v>
      </c>
      <c r="D30" s="14">
        <v>57</v>
      </c>
      <c r="E30" s="14" t="s">
        <v>18</v>
      </c>
      <c r="F30" s="14" t="s">
        <v>38</v>
      </c>
      <c r="G30" s="14">
        <v>4</v>
      </c>
      <c r="H30" s="14">
        <v>5</v>
      </c>
      <c r="I30" s="14">
        <v>5</v>
      </c>
      <c r="J30" s="14">
        <v>4</v>
      </c>
      <c r="K30" s="14">
        <v>4</v>
      </c>
      <c r="L30" s="14" t="s">
        <v>20</v>
      </c>
      <c r="M30" s="14" t="s">
        <v>43</v>
      </c>
      <c r="N30" s="14" t="s">
        <v>90</v>
      </c>
      <c r="O30" s="14" t="s">
        <v>33</v>
      </c>
      <c r="P30" s="14" t="s">
        <v>24</v>
      </c>
      <c r="Q30" s="14" t="s">
        <v>25</v>
      </c>
    </row>
    <row r="31" spans="1:17" ht="22.5" customHeight="1" x14ac:dyDescent="0.35">
      <c r="A31" s="14" t="s">
        <v>320</v>
      </c>
      <c r="B31" s="15">
        <v>2</v>
      </c>
      <c r="C31" s="14" t="s">
        <v>91</v>
      </c>
      <c r="D31" s="14">
        <v>34</v>
      </c>
      <c r="E31" s="14" t="s">
        <v>37</v>
      </c>
      <c r="F31" s="14" t="s">
        <v>38</v>
      </c>
      <c r="G31" s="14">
        <v>5</v>
      </c>
      <c r="H31" s="14">
        <v>4</v>
      </c>
      <c r="I31" s="14">
        <v>4</v>
      </c>
      <c r="J31" s="14">
        <v>4</v>
      </c>
      <c r="K31" s="14">
        <v>4</v>
      </c>
      <c r="L31" s="14" t="s">
        <v>20</v>
      </c>
      <c r="M31" s="14" t="s">
        <v>21</v>
      </c>
      <c r="N31" s="14" t="s">
        <v>92</v>
      </c>
      <c r="O31" s="14" t="s">
        <v>40</v>
      </c>
      <c r="P31" s="14" t="s">
        <v>28</v>
      </c>
      <c r="Q31" s="14" t="s">
        <v>41</v>
      </c>
    </row>
    <row r="32" spans="1:17" ht="22.5" customHeight="1" x14ac:dyDescent="0.35">
      <c r="A32" s="14" t="s">
        <v>320</v>
      </c>
      <c r="B32" s="15">
        <v>1</v>
      </c>
      <c r="C32" s="14" t="s">
        <v>93</v>
      </c>
      <c r="D32" s="14">
        <v>33</v>
      </c>
      <c r="E32" s="14" t="s">
        <v>18</v>
      </c>
      <c r="F32" s="14" t="s">
        <v>38</v>
      </c>
      <c r="G32" s="14">
        <v>5</v>
      </c>
      <c r="H32" s="14">
        <v>5</v>
      </c>
      <c r="I32" s="14">
        <v>5</v>
      </c>
      <c r="J32" s="14">
        <v>4</v>
      </c>
      <c r="K32" s="14">
        <v>5</v>
      </c>
      <c r="L32" s="14" t="s">
        <v>20</v>
      </c>
      <c r="M32" s="14" t="s">
        <v>21</v>
      </c>
      <c r="N32" s="14" t="s">
        <v>94</v>
      </c>
      <c r="O32" s="14" t="s">
        <v>40</v>
      </c>
      <c r="P32" s="14" t="s">
        <v>24</v>
      </c>
      <c r="Q32" s="14" t="s">
        <v>41</v>
      </c>
    </row>
    <row r="33" spans="1:17" ht="22.5" customHeight="1" x14ac:dyDescent="0.35">
      <c r="A33" s="14" t="s">
        <v>320</v>
      </c>
      <c r="B33" s="15">
        <v>1</v>
      </c>
      <c r="C33" s="14" t="s">
        <v>95</v>
      </c>
      <c r="D33" s="14">
        <v>29</v>
      </c>
      <c r="E33" s="14" t="s">
        <v>37</v>
      </c>
      <c r="F33" s="14" t="s">
        <v>38</v>
      </c>
      <c r="G33" s="14">
        <v>5</v>
      </c>
      <c r="H33" s="14">
        <v>4</v>
      </c>
      <c r="I33" s="14">
        <v>4</v>
      </c>
      <c r="J33" s="14">
        <v>4</v>
      </c>
      <c r="K33" s="14">
        <v>5</v>
      </c>
      <c r="L33" s="14" t="s">
        <v>20</v>
      </c>
      <c r="M33" s="14" t="s">
        <v>43</v>
      </c>
      <c r="N33" s="14" t="s">
        <v>81</v>
      </c>
      <c r="O33" s="14" t="s">
        <v>40</v>
      </c>
      <c r="P33" s="14" t="s">
        <v>24</v>
      </c>
      <c r="Q33" s="14" t="s">
        <v>41</v>
      </c>
    </row>
    <row r="34" spans="1:17" ht="22.5" customHeight="1" x14ac:dyDescent="0.35">
      <c r="A34" s="14" t="s">
        <v>320</v>
      </c>
      <c r="B34" s="15">
        <v>1</v>
      </c>
      <c r="C34" s="14" t="s">
        <v>96</v>
      </c>
      <c r="D34" s="14">
        <v>42</v>
      </c>
      <c r="E34" s="14" t="s">
        <v>18</v>
      </c>
      <c r="F34" s="14" t="s">
        <v>38</v>
      </c>
      <c r="G34" s="14">
        <v>5</v>
      </c>
      <c r="H34" s="14">
        <v>5</v>
      </c>
      <c r="I34" s="14">
        <v>4</v>
      </c>
      <c r="J34" s="14">
        <v>5</v>
      </c>
      <c r="K34" s="14">
        <v>5</v>
      </c>
      <c r="L34" s="14" t="s">
        <v>20</v>
      </c>
      <c r="M34" s="14" t="s">
        <v>43</v>
      </c>
      <c r="N34" s="14" t="s">
        <v>97</v>
      </c>
      <c r="O34" s="14" t="s">
        <v>23</v>
      </c>
      <c r="P34" s="14" t="s">
        <v>24</v>
      </c>
      <c r="Q34" s="14" t="s">
        <v>41</v>
      </c>
    </row>
    <row r="35" spans="1:17" ht="22.5" customHeight="1" x14ac:dyDescent="0.35">
      <c r="A35" s="14" t="s">
        <v>320</v>
      </c>
      <c r="B35" s="15">
        <v>2</v>
      </c>
      <c r="C35" s="14" t="s">
        <v>98</v>
      </c>
      <c r="D35" s="14">
        <v>34</v>
      </c>
      <c r="E35" s="14" t="s">
        <v>37</v>
      </c>
      <c r="F35" s="14" t="s">
        <v>38</v>
      </c>
      <c r="G35" s="14">
        <v>5</v>
      </c>
      <c r="H35" s="14">
        <v>4</v>
      </c>
      <c r="I35" s="14">
        <v>4</v>
      </c>
      <c r="J35" s="14">
        <v>5</v>
      </c>
      <c r="K35" s="14">
        <v>4</v>
      </c>
      <c r="L35" s="14" t="s">
        <v>20</v>
      </c>
      <c r="M35" s="14" t="s">
        <v>43</v>
      </c>
      <c r="N35" s="14" t="s">
        <v>77</v>
      </c>
      <c r="O35" s="14" t="s">
        <v>23</v>
      </c>
      <c r="P35" s="14" t="s">
        <v>24</v>
      </c>
      <c r="Q35" s="14" t="s">
        <v>41</v>
      </c>
    </row>
    <row r="36" spans="1:17" ht="22.5" customHeight="1" x14ac:dyDescent="0.35">
      <c r="A36" s="14" t="s">
        <v>320</v>
      </c>
      <c r="B36" s="15">
        <v>1</v>
      </c>
      <c r="C36" s="14" t="s">
        <v>99</v>
      </c>
      <c r="D36" s="14">
        <v>28</v>
      </c>
      <c r="E36" s="14" t="s">
        <v>18</v>
      </c>
      <c r="F36" s="14" t="s">
        <v>38</v>
      </c>
      <c r="G36" s="14">
        <v>4</v>
      </c>
      <c r="H36" s="14">
        <v>5</v>
      </c>
      <c r="I36" s="14">
        <v>3</v>
      </c>
      <c r="J36" s="14">
        <v>4</v>
      </c>
      <c r="K36" s="14">
        <v>5</v>
      </c>
      <c r="L36" s="14" t="s">
        <v>20</v>
      </c>
      <c r="M36" s="14" t="s">
        <v>43</v>
      </c>
      <c r="N36" s="14" t="s">
        <v>81</v>
      </c>
      <c r="O36" s="14" t="s">
        <v>40</v>
      </c>
      <c r="P36" s="14" t="s">
        <v>24</v>
      </c>
      <c r="Q36" s="14" t="s">
        <v>41</v>
      </c>
    </row>
    <row r="37" spans="1:17" ht="22.5" customHeight="1" x14ac:dyDescent="0.35">
      <c r="A37" s="14" t="s">
        <v>320</v>
      </c>
      <c r="B37" s="15">
        <v>3</v>
      </c>
      <c r="C37" s="14" t="s">
        <v>100</v>
      </c>
      <c r="D37" s="14">
        <v>41</v>
      </c>
      <c r="E37" s="14" t="s">
        <v>18</v>
      </c>
      <c r="F37" s="14" t="s">
        <v>38</v>
      </c>
      <c r="G37" s="14">
        <v>5</v>
      </c>
      <c r="H37" s="14">
        <v>4</v>
      </c>
      <c r="I37" s="14">
        <v>5</v>
      </c>
      <c r="J37" s="14">
        <v>4</v>
      </c>
      <c r="K37" s="14">
        <v>4</v>
      </c>
      <c r="L37" s="14" t="s">
        <v>20</v>
      </c>
      <c r="M37" s="14" t="s">
        <v>21</v>
      </c>
      <c r="N37" s="14" t="s">
        <v>101</v>
      </c>
      <c r="O37" s="14" t="s">
        <v>33</v>
      </c>
      <c r="P37" s="14" t="s">
        <v>24</v>
      </c>
      <c r="Q37" s="14" t="s">
        <v>25</v>
      </c>
    </row>
    <row r="38" spans="1:17" ht="22.5" customHeight="1" x14ac:dyDescent="0.35">
      <c r="A38" s="14" t="s">
        <v>320</v>
      </c>
      <c r="B38" s="15">
        <v>1</v>
      </c>
      <c r="C38" s="14" t="s">
        <v>102</v>
      </c>
      <c r="D38" s="14">
        <v>32</v>
      </c>
      <c r="E38" s="14" t="s">
        <v>18</v>
      </c>
      <c r="F38" s="14" t="s">
        <v>38</v>
      </c>
      <c r="G38" s="14">
        <v>4</v>
      </c>
      <c r="H38" s="14">
        <v>4</v>
      </c>
      <c r="I38" s="14">
        <v>4</v>
      </c>
      <c r="J38" s="14">
        <v>4</v>
      </c>
      <c r="K38" s="14">
        <v>4</v>
      </c>
      <c r="L38" s="14" t="s">
        <v>20</v>
      </c>
      <c r="M38" s="14" t="s">
        <v>43</v>
      </c>
      <c r="N38" s="14" t="s">
        <v>103</v>
      </c>
      <c r="O38" s="14" t="s">
        <v>40</v>
      </c>
      <c r="P38" s="14" t="s">
        <v>24</v>
      </c>
      <c r="Q38" s="14" t="s">
        <v>41</v>
      </c>
    </row>
    <row r="39" spans="1:17" ht="22.5" customHeight="1" x14ac:dyDescent="0.35">
      <c r="A39" s="14" t="s">
        <v>320</v>
      </c>
      <c r="B39" s="15">
        <v>2</v>
      </c>
      <c r="C39" s="14" t="s">
        <v>104</v>
      </c>
      <c r="D39" s="14">
        <v>42</v>
      </c>
      <c r="E39" s="14" t="s">
        <v>18</v>
      </c>
      <c r="F39" s="14" t="s">
        <v>38</v>
      </c>
      <c r="G39" s="14">
        <v>4</v>
      </c>
      <c r="H39" s="14">
        <v>4</v>
      </c>
      <c r="I39" s="14">
        <v>4</v>
      </c>
      <c r="J39" s="14">
        <v>5</v>
      </c>
      <c r="K39" s="14">
        <v>4</v>
      </c>
      <c r="L39" s="14" t="s">
        <v>20</v>
      </c>
      <c r="M39" s="14" t="s">
        <v>21</v>
      </c>
      <c r="N39" s="14" t="s">
        <v>105</v>
      </c>
      <c r="O39" s="14" t="s">
        <v>33</v>
      </c>
      <c r="P39" s="14" t="s">
        <v>24</v>
      </c>
      <c r="Q39" s="14" t="s">
        <v>25</v>
      </c>
    </row>
    <row r="40" spans="1:17" ht="22.5" customHeight="1" x14ac:dyDescent="0.35">
      <c r="A40" s="14" t="s">
        <v>320</v>
      </c>
      <c r="B40" s="15">
        <v>1</v>
      </c>
      <c r="C40" s="14" t="s">
        <v>106</v>
      </c>
      <c r="D40" s="14">
        <v>31</v>
      </c>
      <c r="E40" s="14" t="s">
        <v>18</v>
      </c>
      <c r="F40" s="14" t="s">
        <v>38</v>
      </c>
      <c r="G40" s="14">
        <v>4</v>
      </c>
      <c r="H40" s="14">
        <v>5</v>
      </c>
      <c r="I40" s="14">
        <v>4</v>
      </c>
      <c r="J40" s="14">
        <v>4</v>
      </c>
      <c r="K40" s="14">
        <v>5</v>
      </c>
      <c r="L40" s="14" t="s">
        <v>20</v>
      </c>
      <c r="M40" s="14" t="s">
        <v>21</v>
      </c>
      <c r="N40" s="14" t="s">
        <v>107</v>
      </c>
      <c r="O40" s="14" t="s">
        <v>40</v>
      </c>
      <c r="P40" s="14" t="s">
        <v>24</v>
      </c>
      <c r="Q40" s="14" t="s">
        <v>41</v>
      </c>
    </row>
    <row r="41" spans="1:17" ht="22.5" customHeight="1" x14ac:dyDescent="0.35">
      <c r="A41" s="14" t="s">
        <v>320</v>
      </c>
      <c r="B41" s="15">
        <v>2</v>
      </c>
      <c r="C41" s="14" t="s">
        <v>108</v>
      </c>
      <c r="D41" s="14">
        <v>35</v>
      </c>
      <c r="E41" s="14" t="s">
        <v>18</v>
      </c>
      <c r="F41" s="14" t="s">
        <v>38</v>
      </c>
      <c r="G41" s="14">
        <v>5</v>
      </c>
      <c r="H41" s="14">
        <v>4</v>
      </c>
      <c r="I41" s="14">
        <v>5</v>
      </c>
      <c r="J41" s="14">
        <v>4</v>
      </c>
      <c r="K41" s="14">
        <v>5</v>
      </c>
      <c r="L41" s="14" t="s">
        <v>20</v>
      </c>
      <c r="M41" s="14" t="s">
        <v>43</v>
      </c>
      <c r="N41" s="14" t="s">
        <v>109</v>
      </c>
      <c r="O41" s="14" t="s">
        <v>40</v>
      </c>
      <c r="P41" s="14" t="s">
        <v>28</v>
      </c>
      <c r="Q41" s="14" t="s">
        <v>41</v>
      </c>
    </row>
    <row r="42" spans="1:17" ht="22.5" customHeight="1" x14ac:dyDescent="0.35">
      <c r="A42" s="14" t="s">
        <v>320</v>
      </c>
      <c r="B42" s="15">
        <v>1</v>
      </c>
      <c r="C42" s="14" t="s">
        <v>110</v>
      </c>
      <c r="D42" s="14">
        <v>34</v>
      </c>
      <c r="E42" s="14" t="s">
        <v>18</v>
      </c>
      <c r="F42" s="14" t="s">
        <v>38</v>
      </c>
      <c r="G42" s="14">
        <v>4</v>
      </c>
      <c r="H42" s="14">
        <v>4</v>
      </c>
      <c r="I42" s="14">
        <v>4</v>
      </c>
      <c r="J42" s="14">
        <v>4</v>
      </c>
      <c r="K42" s="14">
        <v>4</v>
      </c>
      <c r="L42" s="14" t="s">
        <v>20</v>
      </c>
      <c r="M42" s="14" t="s">
        <v>43</v>
      </c>
      <c r="N42" s="14" t="s">
        <v>111</v>
      </c>
      <c r="O42" s="14" t="s">
        <v>40</v>
      </c>
      <c r="P42" s="14" t="s">
        <v>24</v>
      </c>
      <c r="Q42" s="14" t="s">
        <v>41</v>
      </c>
    </row>
    <row r="43" spans="1:17" ht="22.5" customHeight="1" x14ac:dyDescent="0.35">
      <c r="A43" s="14" t="s">
        <v>320</v>
      </c>
      <c r="B43" s="15">
        <v>2</v>
      </c>
      <c r="C43" s="14" t="s">
        <v>112</v>
      </c>
      <c r="D43" s="14">
        <v>43</v>
      </c>
      <c r="E43" s="14" t="s">
        <v>18</v>
      </c>
      <c r="F43" s="14" t="s">
        <v>38</v>
      </c>
      <c r="G43" s="14">
        <v>5</v>
      </c>
      <c r="H43" s="14">
        <v>4</v>
      </c>
      <c r="I43" s="14">
        <v>4</v>
      </c>
      <c r="J43" s="14">
        <v>5</v>
      </c>
      <c r="K43" s="14">
        <v>4</v>
      </c>
      <c r="L43" s="14" t="s">
        <v>20</v>
      </c>
      <c r="M43" s="14" t="s">
        <v>21</v>
      </c>
      <c r="N43" s="14" t="s">
        <v>113</v>
      </c>
      <c r="O43" s="14" t="s">
        <v>23</v>
      </c>
      <c r="P43" s="14" t="s">
        <v>24</v>
      </c>
      <c r="Q43" s="14" t="s">
        <v>25</v>
      </c>
    </row>
    <row r="44" spans="1:17" ht="12.75" x14ac:dyDescent="0.35">
      <c r="B44" s="11"/>
      <c r="J44" s="11"/>
    </row>
    <row r="45" spans="1:17" ht="12.75" x14ac:dyDescent="0.35">
      <c r="A45" s="16" t="s">
        <v>321</v>
      </c>
      <c r="B45" s="11">
        <v>46</v>
      </c>
      <c r="J45" s="11"/>
    </row>
    <row r="46" spans="1:17" ht="12.75" x14ac:dyDescent="0.35">
      <c r="A46" s="16" t="s">
        <v>322</v>
      </c>
      <c r="B46" s="11">
        <v>4</v>
      </c>
      <c r="J46" s="11"/>
    </row>
    <row r="47" spans="1:17" ht="12.75" x14ac:dyDescent="0.35">
      <c r="A47" s="16" t="s">
        <v>323</v>
      </c>
      <c r="B47" s="11">
        <v>42</v>
      </c>
      <c r="J47" s="11"/>
    </row>
    <row r="48" spans="1:17" ht="12.75" x14ac:dyDescent="0.35">
      <c r="B48" s="11"/>
      <c r="J48" s="11"/>
    </row>
    <row r="49" spans="1:10" ht="12.75" x14ac:dyDescent="0.35">
      <c r="B49" s="11"/>
      <c r="J49" s="11"/>
    </row>
    <row r="50" spans="1:10" ht="12.75" x14ac:dyDescent="0.35">
      <c r="A50" s="16" t="s">
        <v>324</v>
      </c>
      <c r="B50" s="11"/>
      <c r="J50" s="11"/>
    </row>
    <row r="51" spans="1:10" ht="12.75" x14ac:dyDescent="0.35">
      <c r="A51" s="17" t="s">
        <v>325</v>
      </c>
      <c r="B51" s="11"/>
      <c r="J51" s="11"/>
    </row>
    <row r="52" spans="1:10" ht="12.75" x14ac:dyDescent="0.35">
      <c r="A52" s="17" t="s">
        <v>326</v>
      </c>
      <c r="B52" s="11"/>
      <c r="J52" s="11"/>
    </row>
    <row r="53" spans="1:10" ht="12.75" x14ac:dyDescent="0.35">
      <c r="B53" s="11"/>
      <c r="J53" s="11"/>
    </row>
    <row r="54" spans="1:10" ht="12.75" x14ac:dyDescent="0.35">
      <c r="B54" s="11"/>
      <c r="J54" s="11"/>
    </row>
    <row r="55" spans="1:10" ht="12.75" x14ac:dyDescent="0.35">
      <c r="B55" s="11"/>
      <c r="J55" s="11"/>
    </row>
    <row r="56" spans="1:10" ht="12.75" x14ac:dyDescent="0.35">
      <c r="B56" s="11"/>
      <c r="J56" s="11"/>
    </row>
    <row r="57" spans="1:10" ht="12.75" x14ac:dyDescent="0.35">
      <c r="B57" s="11"/>
      <c r="J57" s="11"/>
    </row>
    <row r="58" spans="1:10" ht="12.75" x14ac:dyDescent="0.35">
      <c r="B58" s="11"/>
      <c r="J58" s="11"/>
    </row>
    <row r="59" spans="1:10" ht="12.75" x14ac:dyDescent="0.35">
      <c r="B59" s="11"/>
      <c r="J59" s="11"/>
    </row>
    <row r="60" spans="1:10" ht="12.75" x14ac:dyDescent="0.35">
      <c r="B60" s="11"/>
      <c r="J60" s="11"/>
    </row>
    <row r="61" spans="1:10" ht="12.75" x14ac:dyDescent="0.35">
      <c r="B61" s="11"/>
      <c r="J61" s="11"/>
    </row>
    <row r="62" spans="1:10" ht="12.75" x14ac:dyDescent="0.35">
      <c r="B62" s="11"/>
      <c r="J62" s="11"/>
    </row>
    <row r="63" spans="1:10" ht="12.75" x14ac:dyDescent="0.35">
      <c r="B63" s="11"/>
      <c r="J63" s="11"/>
    </row>
    <row r="64" spans="1:10" ht="12.75" x14ac:dyDescent="0.35">
      <c r="B64" s="11"/>
      <c r="J64" s="11"/>
    </row>
    <row r="65" spans="2:10" ht="12.75" x14ac:dyDescent="0.35">
      <c r="B65" s="11"/>
      <c r="J65" s="11"/>
    </row>
    <row r="66" spans="2:10" ht="12.75" x14ac:dyDescent="0.35">
      <c r="B66" s="11"/>
      <c r="J66" s="11"/>
    </row>
    <row r="67" spans="2:10" ht="12.75" x14ac:dyDescent="0.35">
      <c r="B67" s="11"/>
      <c r="J67" s="11"/>
    </row>
    <row r="68" spans="2:10" ht="12.75" x14ac:dyDescent="0.35">
      <c r="B68" s="11"/>
      <c r="J68" s="11"/>
    </row>
    <row r="69" spans="2:10" ht="12.75" x14ac:dyDescent="0.35">
      <c r="B69" s="11"/>
      <c r="J69" s="11"/>
    </row>
    <row r="70" spans="2:10" ht="12.75" x14ac:dyDescent="0.35">
      <c r="B70" s="11"/>
      <c r="J70" s="11"/>
    </row>
    <row r="71" spans="2:10" ht="12.75" x14ac:dyDescent="0.35">
      <c r="B71" s="11"/>
      <c r="J71" s="11"/>
    </row>
    <row r="72" spans="2:10" ht="12.75" x14ac:dyDescent="0.35">
      <c r="B72" s="11"/>
      <c r="J72" s="11"/>
    </row>
    <row r="73" spans="2:10" ht="12.75" x14ac:dyDescent="0.35">
      <c r="B73" s="11"/>
      <c r="J73" s="11"/>
    </row>
    <row r="74" spans="2:10" ht="12.75" x14ac:dyDescent="0.35">
      <c r="B74" s="11"/>
      <c r="J74" s="11"/>
    </row>
    <row r="75" spans="2:10" ht="12.75" x14ac:dyDescent="0.35">
      <c r="B75" s="11"/>
      <c r="J75" s="11"/>
    </row>
    <row r="76" spans="2:10" ht="12.75" x14ac:dyDescent="0.35">
      <c r="B76" s="11"/>
      <c r="J76" s="11"/>
    </row>
    <row r="77" spans="2:10" ht="12.75" x14ac:dyDescent="0.35">
      <c r="B77" s="11"/>
      <c r="J77" s="11"/>
    </row>
    <row r="78" spans="2:10" ht="12.75" x14ac:dyDescent="0.35">
      <c r="B78" s="11"/>
      <c r="J78" s="11"/>
    </row>
    <row r="79" spans="2:10" ht="12.75" x14ac:dyDescent="0.35">
      <c r="B79" s="11"/>
      <c r="J79" s="11"/>
    </row>
    <row r="80" spans="2:10" ht="12.75" x14ac:dyDescent="0.35">
      <c r="B80" s="11"/>
      <c r="J80" s="11"/>
    </row>
    <row r="81" spans="2:10" ht="12.75" x14ac:dyDescent="0.35">
      <c r="B81" s="11"/>
      <c r="J81" s="11"/>
    </row>
    <row r="82" spans="2:10" ht="12.75" x14ac:dyDescent="0.35">
      <c r="B82" s="11"/>
      <c r="J82" s="11"/>
    </row>
    <row r="83" spans="2:10" ht="12.75" x14ac:dyDescent="0.35">
      <c r="B83" s="11"/>
      <c r="J83" s="11"/>
    </row>
    <row r="84" spans="2:10" ht="12.75" x14ac:dyDescent="0.35">
      <c r="B84" s="11"/>
      <c r="J84" s="11"/>
    </row>
    <row r="85" spans="2:10" ht="12.75" x14ac:dyDescent="0.35">
      <c r="B85" s="11"/>
      <c r="J85" s="11"/>
    </row>
    <row r="86" spans="2:10" ht="12.75" x14ac:dyDescent="0.35">
      <c r="B86" s="11"/>
      <c r="J86" s="11"/>
    </row>
    <row r="87" spans="2:10" ht="12.75" x14ac:dyDescent="0.35">
      <c r="B87" s="11"/>
      <c r="J87" s="11"/>
    </row>
    <row r="88" spans="2:10" ht="12.75" x14ac:dyDescent="0.35">
      <c r="B88" s="11"/>
      <c r="J88" s="11"/>
    </row>
    <row r="89" spans="2:10" ht="12.75" x14ac:dyDescent="0.35">
      <c r="B89" s="11"/>
      <c r="J89" s="11"/>
    </row>
    <row r="90" spans="2:10" ht="12.75" x14ac:dyDescent="0.35">
      <c r="B90" s="11"/>
      <c r="J90" s="11"/>
    </row>
    <row r="91" spans="2:10" ht="12.75" x14ac:dyDescent="0.35">
      <c r="B91" s="11"/>
      <c r="J91" s="11"/>
    </row>
    <row r="92" spans="2:10" ht="12.75" x14ac:dyDescent="0.35">
      <c r="B92" s="11"/>
      <c r="J92" s="11"/>
    </row>
    <row r="93" spans="2:10" ht="12.75" x14ac:dyDescent="0.35">
      <c r="B93" s="11"/>
      <c r="J93" s="11"/>
    </row>
    <row r="94" spans="2:10" ht="12.75" x14ac:dyDescent="0.35">
      <c r="B94" s="11"/>
      <c r="J94" s="11"/>
    </row>
    <row r="95" spans="2:10" ht="12.75" x14ac:dyDescent="0.35">
      <c r="B95" s="11"/>
      <c r="J95" s="11"/>
    </row>
    <row r="96" spans="2:10" ht="12.75" x14ac:dyDescent="0.35">
      <c r="B96" s="11"/>
      <c r="J96" s="11"/>
    </row>
    <row r="97" spans="2:10" ht="12.75" x14ac:dyDescent="0.35">
      <c r="B97" s="11"/>
      <c r="J97" s="11"/>
    </row>
    <row r="98" spans="2:10" ht="12.75" x14ac:dyDescent="0.35">
      <c r="B98" s="11"/>
      <c r="J98" s="11"/>
    </row>
    <row r="99" spans="2:10" ht="12.75" x14ac:dyDescent="0.35">
      <c r="B99" s="11"/>
      <c r="J99" s="11"/>
    </row>
    <row r="100" spans="2:10" ht="12.75" x14ac:dyDescent="0.35">
      <c r="B100" s="11"/>
      <c r="J100" s="11"/>
    </row>
    <row r="101" spans="2:10" ht="12.75" x14ac:dyDescent="0.35">
      <c r="B101" s="11"/>
      <c r="J101" s="11"/>
    </row>
    <row r="102" spans="2:10" ht="12.75" x14ac:dyDescent="0.35">
      <c r="B102" s="11"/>
      <c r="J102" s="11"/>
    </row>
    <row r="103" spans="2:10" ht="12.75" x14ac:dyDescent="0.35">
      <c r="B103" s="11"/>
      <c r="J103" s="11"/>
    </row>
    <row r="104" spans="2:10" ht="12.75" x14ac:dyDescent="0.35">
      <c r="B104" s="11"/>
      <c r="J104" s="11"/>
    </row>
  </sheetData>
  <hyperlinks>
    <hyperlink ref="A51" r:id="rId1" xr:uid="{00000000-0004-0000-0100-000000000000}"/>
    <hyperlink ref="A52" r:id="rId2" xr:uid="{00000000-0004-0000-0100-000001000000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35"/>
  <cols>
    <col min="1" max="1" width="17.796875" customWidth="1"/>
    <col min="2" max="2" width="10.46484375" customWidth="1"/>
    <col min="3" max="3" width="24.33203125" customWidth="1"/>
    <col min="4" max="4" width="7.46484375" customWidth="1"/>
    <col min="5" max="5" width="12" customWidth="1"/>
    <col min="6" max="6" width="9.6640625" customWidth="1"/>
    <col min="7" max="7" width="5.46484375" customWidth="1"/>
    <col min="8" max="9" width="6.1328125" customWidth="1"/>
    <col min="10" max="10" width="6.6640625" customWidth="1"/>
    <col min="11" max="11" width="6.33203125" customWidth="1"/>
    <col min="12" max="12" width="23.796875" customWidth="1"/>
    <col min="13" max="13" width="18.86328125" customWidth="1"/>
    <col min="14" max="14" width="37.6640625" customWidth="1"/>
    <col min="15" max="15" width="18.86328125" customWidth="1"/>
    <col min="16" max="16" width="19.6640625" customWidth="1"/>
    <col min="17" max="17" width="25.796875" customWidth="1"/>
    <col min="18" max="22" width="18.86328125" customWidth="1"/>
  </cols>
  <sheetData>
    <row r="1" spans="1:17" ht="22.5" customHeight="1" x14ac:dyDescent="0.35">
      <c r="A1" s="1" t="s">
        <v>313</v>
      </c>
      <c r="B1" s="18" t="s">
        <v>314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315</v>
      </c>
      <c r="H1" s="1" t="s">
        <v>316</v>
      </c>
      <c r="I1" s="1" t="s">
        <v>317</v>
      </c>
      <c r="J1" s="19" t="s">
        <v>318</v>
      </c>
      <c r="K1" s="1" t="s">
        <v>319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35">
      <c r="A2" s="14" t="s">
        <v>320</v>
      </c>
      <c r="B2" s="20">
        <v>2</v>
      </c>
      <c r="C2" s="14" t="s">
        <v>114</v>
      </c>
      <c r="D2" s="14">
        <v>35</v>
      </c>
      <c r="E2" s="14" t="s">
        <v>18</v>
      </c>
      <c r="F2" s="14" t="s">
        <v>38</v>
      </c>
      <c r="G2" s="14">
        <v>5</v>
      </c>
      <c r="H2" s="14">
        <v>4</v>
      </c>
      <c r="I2" s="14">
        <v>4</v>
      </c>
      <c r="J2" s="14">
        <v>4</v>
      </c>
      <c r="K2" s="14">
        <v>4</v>
      </c>
      <c r="L2" s="14" t="s">
        <v>20</v>
      </c>
      <c r="M2" s="14" t="s">
        <v>21</v>
      </c>
      <c r="N2" s="14" t="s">
        <v>115</v>
      </c>
      <c r="O2" s="14" t="s">
        <v>40</v>
      </c>
      <c r="P2" s="14" t="s">
        <v>24</v>
      </c>
      <c r="Q2" s="14" t="s">
        <v>41</v>
      </c>
    </row>
    <row r="3" spans="1:17" ht="22.5" customHeight="1" x14ac:dyDescent="0.35">
      <c r="A3" s="14" t="s">
        <v>320</v>
      </c>
      <c r="B3" s="20">
        <v>2</v>
      </c>
      <c r="C3" s="14" t="s">
        <v>116</v>
      </c>
      <c r="D3" s="14">
        <v>41</v>
      </c>
      <c r="E3" s="14" t="s">
        <v>18</v>
      </c>
      <c r="F3" s="14" t="s">
        <v>38</v>
      </c>
      <c r="G3" s="14">
        <v>5</v>
      </c>
      <c r="H3" s="14">
        <v>5</v>
      </c>
      <c r="I3" s="14">
        <v>5</v>
      </c>
      <c r="J3" s="14">
        <v>5</v>
      </c>
      <c r="K3" s="14">
        <v>5</v>
      </c>
      <c r="L3" s="14" t="s">
        <v>20</v>
      </c>
      <c r="M3" s="14" t="s">
        <v>21</v>
      </c>
      <c r="N3" s="14" t="s">
        <v>117</v>
      </c>
      <c r="O3" s="14" t="s">
        <v>33</v>
      </c>
      <c r="P3" s="14" t="s">
        <v>24</v>
      </c>
      <c r="Q3" s="14" t="s">
        <v>25</v>
      </c>
    </row>
    <row r="4" spans="1:17" ht="22.5" customHeight="1" x14ac:dyDescent="0.35">
      <c r="A4" s="14" t="s">
        <v>320</v>
      </c>
      <c r="B4" s="20">
        <v>1</v>
      </c>
      <c r="C4" s="14" t="s">
        <v>118</v>
      </c>
      <c r="D4" s="14">
        <v>54</v>
      </c>
      <c r="E4" s="14" t="s">
        <v>18</v>
      </c>
      <c r="F4" s="14" t="s">
        <v>19</v>
      </c>
      <c r="G4" s="14">
        <v>5</v>
      </c>
      <c r="H4" s="14">
        <v>5</v>
      </c>
      <c r="I4" s="14">
        <v>5</v>
      </c>
      <c r="J4" s="14">
        <v>5</v>
      </c>
      <c r="K4" s="14">
        <v>5</v>
      </c>
      <c r="L4" s="14" t="s">
        <v>20</v>
      </c>
      <c r="M4" s="14" t="s">
        <v>21</v>
      </c>
      <c r="N4" s="14" t="s">
        <v>119</v>
      </c>
      <c r="O4" s="14" t="s">
        <v>33</v>
      </c>
      <c r="P4" s="14" t="s">
        <v>28</v>
      </c>
      <c r="Q4" s="14" t="s">
        <v>47</v>
      </c>
    </row>
    <row r="5" spans="1:17" ht="22.5" customHeight="1" x14ac:dyDescent="0.35">
      <c r="A5" s="14" t="s">
        <v>320</v>
      </c>
      <c r="B5" s="20">
        <v>4</v>
      </c>
      <c r="C5" s="14" t="s">
        <v>120</v>
      </c>
      <c r="D5" s="14">
        <v>36</v>
      </c>
      <c r="E5" s="14" t="s">
        <v>37</v>
      </c>
      <c r="F5" s="14" t="s">
        <v>38</v>
      </c>
      <c r="G5" s="14">
        <v>5</v>
      </c>
      <c r="H5" s="14">
        <v>5</v>
      </c>
      <c r="I5" s="14">
        <v>5</v>
      </c>
      <c r="J5" s="14">
        <v>5</v>
      </c>
      <c r="K5" s="14">
        <v>5</v>
      </c>
      <c r="L5" s="14" t="s">
        <v>20</v>
      </c>
      <c r="M5" s="14" t="s">
        <v>21</v>
      </c>
      <c r="N5" s="14" t="s">
        <v>121</v>
      </c>
      <c r="O5" s="14" t="s">
        <v>40</v>
      </c>
      <c r="P5" s="14" t="s">
        <v>24</v>
      </c>
      <c r="Q5" s="14" t="s">
        <v>41</v>
      </c>
    </row>
    <row r="6" spans="1:17" ht="22.5" customHeight="1" x14ac:dyDescent="0.35">
      <c r="A6" s="14" t="s">
        <v>320</v>
      </c>
      <c r="B6" s="20">
        <v>1</v>
      </c>
      <c r="C6" s="14" t="s">
        <v>122</v>
      </c>
      <c r="D6" s="14">
        <v>32</v>
      </c>
      <c r="E6" s="14" t="s">
        <v>18</v>
      </c>
      <c r="F6" s="14" t="s">
        <v>38</v>
      </c>
      <c r="G6" s="14">
        <v>5</v>
      </c>
      <c r="H6" s="14">
        <v>4</v>
      </c>
      <c r="I6" s="14">
        <v>4</v>
      </c>
      <c r="J6" s="14">
        <v>4</v>
      </c>
      <c r="K6" s="14">
        <v>4</v>
      </c>
      <c r="L6" s="14" t="s">
        <v>20</v>
      </c>
      <c r="M6" s="14" t="s">
        <v>21</v>
      </c>
      <c r="N6" s="14" t="s">
        <v>123</v>
      </c>
      <c r="O6" s="14" t="s">
        <v>53</v>
      </c>
      <c r="P6" s="14" t="s">
        <v>124</v>
      </c>
      <c r="Q6" s="14" t="s">
        <v>125</v>
      </c>
    </row>
    <row r="7" spans="1:17" ht="22.5" customHeight="1" x14ac:dyDescent="0.35">
      <c r="A7" s="14" t="s">
        <v>320</v>
      </c>
      <c r="B7" s="20">
        <v>4</v>
      </c>
      <c r="C7" s="14" t="s">
        <v>126</v>
      </c>
      <c r="D7" s="14">
        <v>32</v>
      </c>
      <c r="E7" s="14" t="s">
        <v>18</v>
      </c>
      <c r="F7" s="14" t="s">
        <v>38</v>
      </c>
      <c r="G7" s="14">
        <v>5</v>
      </c>
      <c r="H7" s="14">
        <v>4</v>
      </c>
      <c r="I7" s="14">
        <v>4</v>
      </c>
      <c r="J7" s="14">
        <v>5</v>
      </c>
      <c r="K7" s="14">
        <v>5</v>
      </c>
      <c r="L7" s="14" t="s">
        <v>20</v>
      </c>
      <c r="M7" s="14" t="s">
        <v>43</v>
      </c>
      <c r="N7" s="14" t="s">
        <v>127</v>
      </c>
      <c r="O7" s="14" t="s">
        <v>40</v>
      </c>
      <c r="P7" s="14" t="s">
        <v>24</v>
      </c>
      <c r="Q7" s="14" t="s">
        <v>41</v>
      </c>
    </row>
    <row r="8" spans="1:17" ht="22.5" customHeight="1" x14ac:dyDescent="0.35">
      <c r="A8" s="14" t="s">
        <v>320</v>
      </c>
      <c r="B8" s="20">
        <v>1</v>
      </c>
      <c r="C8" s="14" t="s">
        <v>128</v>
      </c>
      <c r="D8" s="14">
        <v>31</v>
      </c>
      <c r="E8" s="14" t="s">
        <v>37</v>
      </c>
      <c r="F8" s="14" t="s">
        <v>38</v>
      </c>
      <c r="G8" s="14">
        <v>5</v>
      </c>
      <c r="H8" s="14">
        <v>4</v>
      </c>
      <c r="I8" s="14">
        <v>3</v>
      </c>
      <c r="J8" s="14">
        <v>5</v>
      </c>
      <c r="K8" s="14">
        <v>3</v>
      </c>
      <c r="L8" s="14" t="s">
        <v>20</v>
      </c>
      <c r="M8" s="14" t="s">
        <v>43</v>
      </c>
      <c r="N8" s="14" t="s">
        <v>129</v>
      </c>
      <c r="O8" s="14" t="s">
        <v>40</v>
      </c>
      <c r="P8" s="14" t="s">
        <v>24</v>
      </c>
      <c r="Q8" s="14" t="s">
        <v>41</v>
      </c>
    </row>
    <row r="9" spans="1:17" ht="22.5" customHeight="1" x14ac:dyDescent="0.35">
      <c r="A9" s="14" t="s">
        <v>320</v>
      </c>
      <c r="B9" s="20">
        <v>2</v>
      </c>
      <c r="C9" s="14" t="s">
        <v>130</v>
      </c>
      <c r="D9" s="14">
        <v>30</v>
      </c>
      <c r="E9" s="14" t="s">
        <v>18</v>
      </c>
      <c r="F9" s="14" t="s">
        <v>19</v>
      </c>
      <c r="G9" s="14">
        <v>3</v>
      </c>
      <c r="H9" s="14">
        <v>2</v>
      </c>
      <c r="I9" s="14">
        <v>2</v>
      </c>
      <c r="J9" s="14">
        <v>3</v>
      </c>
      <c r="K9" s="14">
        <v>3</v>
      </c>
      <c r="L9" s="14" t="s">
        <v>20</v>
      </c>
      <c r="M9" s="14" t="s">
        <v>21</v>
      </c>
      <c r="N9" s="14" t="s">
        <v>131</v>
      </c>
      <c r="O9" s="14" t="s">
        <v>40</v>
      </c>
      <c r="P9" s="14" t="s">
        <v>24</v>
      </c>
      <c r="Q9" s="14" t="s">
        <v>41</v>
      </c>
    </row>
    <row r="10" spans="1:17" ht="22.5" customHeight="1" x14ac:dyDescent="0.35">
      <c r="A10" s="14" t="s">
        <v>320</v>
      </c>
      <c r="B10" s="20">
        <v>1</v>
      </c>
      <c r="C10" s="14" t="s">
        <v>132</v>
      </c>
      <c r="D10" s="14">
        <v>52</v>
      </c>
      <c r="E10" s="14" t="s">
        <v>18</v>
      </c>
      <c r="F10" s="14" t="s">
        <v>38</v>
      </c>
      <c r="G10" s="14">
        <v>1</v>
      </c>
      <c r="H10" s="14">
        <v>1</v>
      </c>
      <c r="I10" s="14">
        <v>1</v>
      </c>
      <c r="J10" s="14">
        <v>1</v>
      </c>
      <c r="K10" s="14">
        <v>1</v>
      </c>
      <c r="L10" s="14" t="s">
        <v>20</v>
      </c>
      <c r="M10" s="14" t="s">
        <v>133</v>
      </c>
      <c r="N10" s="14" t="s">
        <v>134</v>
      </c>
      <c r="O10" s="14" t="s">
        <v>40</v>
      </c>
      <c r="P10" s="14" t="s">
        <v>24</v>
      </c>
      <c r="Q10" s="14" t="s">
        <v>25</v>
      </c>
    </row>
    <row r="11" spans="1:17" ht="22.5" customHeight="1" x14ac:dyDescent="0.35">
      <c r="A11" s="14" t="s">
        <v>320</v>
      </c>
      <c r="B11" s="20">
        <v>1</v>
      </c>
      <c r="C11" s="14" t="s">
        <v>135</v>
      </c>
      <c r="D11" s="14">
        <v>24</v>
      </c>
      <c r="E11" s="14" t="s">
        <v>37</v>
      </c>
      <c r="F11" s="14" t="s">
        <v>38</v>
      </c>
      <c r="G11" s="14">
        <v>4</v>
      </c>
      <c r="H11" s="14">
        <v>4</v>
      </c>
      <c r="I11" s="14">
        <v>4</v>
      </c>
      <c r="J11" s="14">
        <v>5</v>
      </c>
      <c r="K11" s="14">
        <v>4</v>
      </c>
      <c r="L11" s="14" t="s">
        <v>20</v>
      </c>
      <c r="M11" s="14" t="s">
        <v>21</v>
      </c>
      <c r="N11" s="14" t="s">
        <v>136</v>
      </c>
      <c r="O11" s="14" t="s">
        <v>137</v>
      </c>
      <c r="P11" s="14" t="s">
        <v>24</v>
      </c>
      <c r="Q11" s="14" t="s">
        <v>41</v>
      </c>
    </row>
    <row r="12" spans="1:17" ht="22.5" customHeight="1" x14ac:dyDescent="0.35">
      <c r="A12" s="14" t="s">
        <v>320</v>
      </c>
      <c r="B12" s="20">
        <v>2</v>
      </c>
      <c r="C12" s="14" t="s">
        <v>138</v>
      </c>
      <c r="D12" s="14">
        <v>44</v>
      </c>
      <c r="E12" s="14" t="s">
        <v>37</v>
      </c>
      <c r="F12" s="14" t="s">
        <v>19</v>
      </c>
      <c r="G12" s="14">
        <v>4</v>
      </c>
      <c r="H12" s="14">
        <v>4</v>
      </c>
      <c r="I12" s="14">
        <v>4</v>
      </c>
      <c r="J12" s="14">
        <v>4</v>
      </c>
      <c r="K12" s="14">
        <v>4</v>
      </c>
      <c r="L12" s="14" t="s">
        <v>20</v>
      </c>
      <c r="M12" s="14" t="s">
        <v>43</v>
      </c>
      <c r="N12" s="14" t="s">
        <v>139</v>
      </c>
      <c r="O12" s="14" t="s">
        <v>33</v>
      </c>
      <c r="P12" s="14" t="s">
        <v>24</v>
      </c>
      <c r="Q12" s="14" t="s">
        <v>47</v>
      </c>
    </row>
    <row r="13" spans="1:17" ht="22.5" customHeight="1" x14ac:dyDescent="0.35">
      <c r="A13" s="14" t="s">
        <v>320</v>
      </c>
      <c r="B13" s="20">
        <v>2</v>
      </c>
      <c r="C13" s="14" t="s">
        <v>140</v>
      </c>
      <c r="D13" s="14">
        <v>37</v>
      </c>
      <c r="E13" s="14" t="s">
        <v>37</v>
      </c>
      <c r="F13" s="14" t="s">
        <v>19</v>
      </c>
      <c r="G13" s="14">
        <v>5</v>
      </c>
      <c r="H13" s="14">
        <v>4</v>
      </c>
      <c r="I13" s="14">
        <v>4</v>
      </c>
      <c r="J13" s="14">
        <v>3</v>
      </c>
      <c r="K13" s="14">
        <v>5</v>
      </c>
      <c r="L13" s="14" t="s">
        <v>20</v>
      </c>
      <c r="M13" s="14" t="s">
        <v>43</v>
      </c>
      <c r="N13" s="14" t="s">
        <v>141</v>
      </c>
      <c r="O13" s="14" t="s">
        <v>53</v>
      </c>
      <c r="P13" s="14" t="s">
        <v>24</v>
      </c>
      <c r="Q13" s="14" t="s">
        <v>25</v>
      </c>
    </row>
    <row r="14" spans="1:17" ht="22.5" customHeight="1" x14ac:dyDescent="0.35">
      <c r="A14" s="14" t="s">
        <v>320</v>
      </c>
      <c r="B14" s="20">
        <v>1</v>
      </c>
      <c r="C14" s="14" t="s">
        <v>142</v>
      </c>
      <c r="D14" s="14">
        <v>46</v>
      </c>
      <c r="E14" s="14" t="s">
        <v>18</v>
      </c>
      <c r="F14" s="14" t="s">
        <v>19</v>
      </c>
      <c r="G14" s="14">
        <v>4</v>
      </c>
      <c r="H14" s="14">
        <v>4</v>
      </c>
      <c r="I14" s="14">
        <v>4</v>
      </c>
      <c r="J14" s="14">
        <v>4</v>
      </c>
      <c r="K14" s="14">
        <v>4</v>
      </c>
      <c r="L14" s="14" t="s">
        <v>20</v>
      </c>
      <c r="M14" s="14" t="s">
        <v>21</v>
      </c>
      <c r="N14" s="14" t="s">
        <v>143</v>
      </c>
      <c r="O14" s="14" t="s">
        <v>33</v>
      </c>
      <c r="P14" s="14" t="s">
        <v>24</v>
      </c>
      <c r="Q14" s="14" t="s">
        <v>25</v>
      </c>
    </row>
    <row r="15" spans="1:17" ht="22.5" customHeight="1" x14ac:dyDescent="0.35">
      <c r="A15" s="14" t="s">
        <v>320</v>
      </c>
      <c r="B15" s="20">
        <v>3</v>
      </c>
      <c r="C15" s="14" t="s">
        <v>144</v>
      </c>
      <c r="D15" s="14">
        <v>32</v>
      </c>
      <c r="E15" s="14" t="s">
        <v>18</v>
      </c>
      <c r="F15" s="14" t="s">
        <v>38</v>
      </c>
      <c r="G15" s="14">
        <v>3</v>
      </c>
      <c r="H15" s="14">
        <v>3</v>
      </c>
      <c r="I15" s="14">
        <v>3</v>
      </c>
      <c r="J15" s="14">
        <v>3</v>
      </c>
      <c r="K15" s="14">
        <v>3</v>
      </c>
      <c r="L15" s="14" t="s">
        <v>20</v>
      </c>
      <c r="M15" s="14" t="s">
        <v>21</v>
      </c>
      <c r="N15" s="14" t="s">
        <v>145</v>
      </c>
      <c r="O15" s="14" t="s">
        <v>40</v>
      </c>
      <c r="P15" s="14" t="s">
        <v>24</v>
      </c>
      <c r="Q15" s="14" t="s">
        <v>41</v>
      </c>
    </row>
    <row r="16" spans="1:17" ht="22.5" customHeight="1" x14ac:dyDescent="0.35">
      <c r="A16" s="14" t="s">
        <v>320</v>
      </c>
      <c r="B16" s="20">
        <v>2</v>
      </c>
      <c r="C16" s="14" t="s">
        <v>146</v>
      </c>
      <c r="D16" s="14">
        <v>48</v>
      </c>
      <c r="E16" s="14" t="s">
        <v>18</v>
      </c>
      <c r="F16" s="14" t="s">
        <v>38</v>
      </c>
      <c r="G16" s="14">
        <v>5</v>
      </c>
      <c r="H16" s="14">
        <v>5</v>
      </c>
      <c r="I16" s="14">
        <v>5</v>
      </c>
      <c r="J16" s="14">
        <v>3</v>
      </c>
      <c r="K16" s="14">
        <v>5</v>
      </c>
      <c r="L16" s="14" t="s">
        <v>20</v>
      </c>
      <c r="M16" s="14" t="s">
        <v>43</v>
      </c>
      <c r="N16" s="14" t="s">
        <v>147</v>
      </c>
      <c r="O16" s="14" t="s">
        <v>33</v>
      </c>
      <c r="P16" s="14" t="s">
        <v>24</v>
      </c>
      <c r="Q16" s="14" t="s">
        <v>25</v>
      </c>
    </row>
    <row r="17" spans="1:17" ht="22.5" customHeight="1" x14ac:dyDescent="0.35">
      <c r="A17" s="14" t="s">
        <v>320</v>
      </c>
      <c r="B17" s="20">
        <v>1</v>
      </c>
      <c r="C17" s="14" t="s">
        <v>148</v>
      </c>
      <c r="D17" s="14">
        <v>37</v>
      </c>
      <c r="E17" s="14" t="s">
        <v>37</v>
      </c>
      <c r="F17" s="14" t="s">
        <v>38</v>
      </c>
      <c r="G17" s="14">
        <v>4</v>
      </c>
      <c r="H17" s="14">
        <v>3</v>
      </c>
      <c r="I17" s="14">
        <v>4</v>
      </c>
      <c r="J17" s="14">
        <v>5</v>
      </c>
      <c r="K17" s="14">
        <v>5</v>
      </c>
      <c r="L17" s="14" t="s">
        <v>20</v>
      </c>
      <c r="M17" s="14" t="s">
        <v>21</v>
      </c>
      <c r="N17" s="14" t="s">
        <v>149</v>
      </c>
      <c r="O17" s="14" t="s">
        <v>40</v>
      </c>
      <c r="P17" s="14" t="s">
        <v>24</v>
      </c>
      <c r="Q17" s="14" t="s">
        <v>41</v>
      </c>
    </row>
    <row r="18" spans="1:17" ht="22.5" customHeight="1" x14ac:dyDescent="0.35">
      <c r="A18" s="14" t="s">
        <v>320</v>
      </c>
      <c r="B18" s="20">
        <v>1</v>
      </c>
      <c r="C18" s="14" t="s">
        <v>150</v>
      </c>
      <c r="D18" s="14">
        <v>31</v>
      </c>
      <c r="E18" s="14" t="s">
        <v>18</v>
      </c>
      <c r="F18" s="14" t="s">
        <v>38</v>
      </c>
      <c r="G18" s="14">
        <v>3</v>
      </c>
      <c r="H18" s="14">
        <v>4</v>
      </c>
      <c r="I18" s="14">
        <v>4</v>
      </c>
      <c r="J18" s="14">
        <v>5</v>
      </c>
      <c r="K18" s="14">
        <v>5</v>
      </c>
      <c r="L18" s="14" t="s">
        <v>51</v>
      </c>
      <c r="M18" s="14" t="s">
        <v>43</v>
      </c>
      <c r="N18" s="14" t="s">
        <v>151</v>
      </c>
      <c r="O18" s="14" t="s">
        <v>53</v>
      </c>
      <c r="P18" s="14" t="s">
        <v>28</v>
      </c>
      <c r="Q18" s="14" t="s">
        <v>25</v>
      </c>
    </row>
    <row r="19" spans="1:17" ht="22.5" customHeight="1" x14ac:dyDescent="0.35">
      <c r="A19" s="14" t="s">
        <v>320</v>
      </c>
      <c r="B19" s="20">
        <v>1</v>
      </c>
      <c r="C19" s="14" t="s">
        <v>152</v>
      </c>
      <c r="D19" s="14">
        <v>47</v>
      </c>
      <c r="E19" s="14" t="s">
        <v>18</v>
      </c>
      <c r="F19" s="14" t="s">
        <v>19</v>
      </c>
      <c r="G19" s="14">
        <v>4</v>
      </c>
      <c r="H19" s="14">
        <v>4</v>
      </c>
      <c r="I19" s="14">
        <v>4</v>
      </c>
      <c r="J19" s="14">
        <v>4</v>
      </c>
      <c r="K19" s="14">
        <v>4</v>
      </c>
      <c r="L19" s="14" t="s">
        <v>20</v>
      </c>
      <c r="M19" s="14" t="s">
        <v>43</v>
      </c>
      <c r="N19" s="14" t="s">
        <v>153</v>
      </c>
      <c r="O19" s="14" t="s">
        <v>23</v>
      </c>
      <c r="P19" s="14" t="s">
        <v>24</v>
      </c>
      <c r="Q19" s="14" t="s">
        <v>41</v>
      </c>
    </row>
    <row r="20" spans="1:17" ht="22.5" customHeight="1" x14ac:dyDescent="0.35">
      <c r="A20" s="14" t="s">
        <v>320</v>
      </c>
      <c r="B20" s="20">
        <v>1</v>
      </c>
      <c r="C20" s="14" t="s">
        <v>154</v>
      </c>
      <c r="D20" s="14">
        <v>40</v>
      </c>
      <c r="E20" s="14" t="s">
        <v>18</v>
      </c>
      <c r="F20" s="14" t="s">
        <v>38</v>
      </c>
      <c r="G20" s="14">
        <v>4</v>
      </c>
      <c r="H20" s="14">
        <v>3</v>
      </c>
      <c r="I20" s="14">
        <v>4</v>
      </c>
      <c r="J20" s="14">
        <v>5</v>
      </c>
      <c r="K20" s="14">
        <v>5</v>
      </c>
      <c r="L20" s="14" t="s">
        <v>51</v>
      </c>
      <c r="M20" s="14" t="s">
        <v>43</v>
      </c>
      <c r="N20" s="14" t="s">
        <v>83</v>
      </c>
      <c r="O20" s="14" t="s">
        <v>53</v>
      </c>
      <c r="P20" s="14" t="s">
        <v>24</v>
      </c>
      <c r="Q20" s="14" t="s">
        <v>41</v>
      </c>
    </row>
    <row r="21" spans="1:17" ht="22.5" customHeight="1" x14ac:dyDescent="0.35">
      <c r="A21" s="14" t="s">
        <v>320</v>
      </c>
      <c r="B21" s="20">
        <v>1</v>
      </c>
      <c r="C21" s="14" t="s">
        <v>155</v>
      </c>
      <c r="D21" s="14">
        <v>34</v>
      </c>
      <c r="E21" s="14" t="s">
        <v>18</v>
      </c>
      <c r="F21" s="14" t="s">
        <v>38</v>
      </c>
      <c r="G21" s="14">
        <v>4</v>
      </c>
      <c r="H21" s="14">
        <v>3</v>
      </c>
      <c r="I21" s="14">
        <v>4</v>
      </c>
      <c r="J21" s="14">
        <v>5</v>
      </c>
      <c r="K21" s="14">
        <v>4</v>
      </c>
      <c r="L21" s="14" t="s">
        <v>51</v>
      </c>
      <c r="M21" s="14" t="s">
        <v>43</v>
      </c>
      <c r="N21" s="14" t="s">
        <v>67</v>
      </c>
      <c r="O21" s="14" t="s">
        <v>53</v>
      </c>
      <c r="P21" s="14" t="s">
        <v>28</v>
      </c>
      <c r="Q21" s="14" t="s">
        <v>25</v>
      </c>
    </row>
    <row r="22" spans="1:17" ht="22.5" customHeight="1" x14ac:dyDescent="0.35">
      <c r="A22" s="14" t="s">
        <v>320</v>
      </c>
      <c r="B22" s="20">
        <v>1</v>
      </c>
      <c r="C22" s="14" t="s">
        <v>156</v>
      </c>
      <c r="D22" s="14">
        <v>29</v>
      </c>
      <c r="E22" s="14" t="s">
        <v>18</v>
      </c>
      <c r="F22" s="14" t="s">
        <v>38</v>
      </c>
      <c r="G22" s="14">
        <v>4</v>
      </c>
      <c r="H22" s="14">
        <v>4</v>
      </c>
      <c r="I22" s="14">
        <v>5</v>
      </c>
      <c r="J22" s="14">
        <v>5</v>
      </c>
      <c r="K22" s="14">
        <v>4</v>
      </c>
      <c r="L22" s="14" t="s">
        <v>20</v>
      </c>
      <c r="M22" s="14" t="s">
        <v>43</v>
      </c>
      <c r="N22" s="14" t="s">
        <v>67</v>
      </c>
      <c r="O22" s="14" t="s">
        <v>53</v>
      </c>
      <c r="P22" s="14" t="s">
        <v>28</v>
      </c>
      <c r="Q22" s="14" t="s">
        <v>41</v>
      </c>
    </row>
    <row r="23" spans="1:17" ht="22.5" customHeight="1" x14ac:dyDescent="0.35">
      <c r="A23" s="14" t="s">
        <v>320</v>
      </c>
      <c r="B23" s="20">
        <v>1</v>
      </c>
      <c r="C23" s="14" t="s">
        <v>157</v>
      </c>
      <c r="D23" s="14">
        <v>29</v>
      </c>
      <c r="E23" s="14" t="s">
        <v>18</v>
      </c>
      <c r="F23" s="14" t="s">
        <v>38</v>
      </c>
      <c r="G23" s="14">
        <v>3</v>
      </c>
      <c r="H23" s="14">
        <v>3</v>
      </c>
      <c r="I23" s="14">
        <v>4</v>
      </c>
      <c r="J23" s="14">
        <v>5</v>
      </c>
      <c r="K23" s="14">
        <v>4</v>
      </c>
      <c r="L23" s="14" t="s">
        <v>20</v>
      </c>
      <c r="M23" s="14" t="s">
        <v>43</v>
      </c>
      <c r="N23" s="14" t="s">
        <v>77</v>
      </c>
      <c r="O23" s="14" t="s">
        <v>53</v>
      </c>
      <c r="P23" s="14" t="s">
        <v>24</v>
      </c>
      <c r="Q23" s="14" t="s">
        <v>41</v>
      </c>
    </row>
    <row r="24" spans="1:17" ht="22.5" customHeight="1" x14ac:dyDescent="0.35">
      <c r="A24" s="14" t="s">
        <v>320</v>
      </c>
      <c r="B24" s="20">
        <v>2</v>
      </c>
      <c r="C24" s="14" t="s">
        <v>158</v>
      </c>
      <c r="D24" s="14">
        <v>34</v>
      </c>
      <c r="E24" s="14" t="s">
        <v>18</v>
      </c>
      <c r="F24" s="14" t="s">
        <v>38</v>
      </c>
      <c r="G24" s="14">
        <v>4</v>
      </c>
      <c r="H24" s="14">
        <v>3</v>
      </c>
      <c r="I24" s="14">
        <v>4</v>
      </c>
      <c r="J24" s="14">
        <v>5</v>
      </c>
      <c r="K24" s="14">
        <v>5</v>
      </c>
      <c r="L24" s="14" t="s">
        <v>20</v>
      </c>
      <c r="M24" s="14" t="s">
        <v>43</v>
      </c>
      <c r="N24" s="14" t="s">
        <v>71</v>
      </c>
      <c r="O24" s="14" t="s">
        <v>40</v>
      </c>
      <c r="P24" s="14" t="s">
        <v>24</v>
      </c>
      <c r="Q24" s="14" t="s">
        <v>41</v>
      </c>
    </row>
    <row r="25" spans="1:17" ht="22.5" customHeight="1" x14ac:dyDescent="0.35">
      <c r="A25" s="14" t="s">
        <v>320</v>
      </c>
      <c r="B25" s="20">
        <v>1</v>
      </c>
      <c r="C25" s="14" t="s">
        <v>159</v>
      </c>
      <c r="D25" s="14">
        <v>31</v>
      </c>
      <c r="E25" s="14" t="s">
        <v>37</v>
      </c>
      <c r="F25" s="14" t="s">
        <v>38</v>
      </c>
      <c r="G25" s="14">
        <v>4</v>
      </c>
      <c r="H25" s="14">
        <v>4</v>
      </c>
      <c r="I25" s="14">
        <v>3</v>
      </c>
      <c r="J25" s="14">
        <v>4</v>
      </c>
      <c r="K25" s="14">
        <v>4</v>
      </c>
      <c r="L25" s="14" t="s">
        <v>51</v>
      </c>
      <c r="M25" s="14" t="s">
        <v>43</v>
      </c>
      <c r="N25" s="14" t="s">
        <v>160</v>
      </c>
      <c r="O25" s="14" t="s">
        <v>53</v>
      </c>
      <c r="P25" s="14" t="s">
        <v>28</v>
      </c>
      <c r="Q25" s="14" t="s">
        <v>41</v>
      </c>
    </row>
    <row r="26" spans="1:17" ht="22.5" customHeight="1" x14ac:dyDescent="0.35">
      <c r="A26" s="14" t="s">
        <v>320</v>
      </c>
      <c r="B26" s="20">
        <v>1</v>
      </c>
      <c r="C26" s="14" t="s">
        <v>161</v>
      </c>
      <c r="D26" s="14">
        <v>59</v>
      </c>
      <c r="E26" s="14" t="s">
        <v>18</v>
      </c>
      <c r="F26" s="14" t="s">
        <v>162</v>
      </c>
      <c r="G26" s="14">
        <v>4</v>
      </c>
      <c r="H26" s="14">
        <v>4</v>
      </c>
      <c r="I26" s="14">
        <v>5</v>
      </c>
      <c r="J26" s="14">
        <v>5</v>
      </c>
      <c r="K26" s="14">
        <v>3</v>
      </c>
      <c r="L26" s="14" t="s">
        <v>20</v>
      </c>
      <c r="M26" s="14" t="s">
        <v>43</v>
      </c>
      <c r="N26" s="14" t="s">
        <v>163</v>
      </c>
      <c r="O26" s="14" t="s">
        <v>33</v>
      </c>
      <c r="P26" s="14" t="s">
        <v>24</v>
      </c>
      <c r="Q26" s="14" t="s">
        <v>47</v>
      </c>
    </row>
    <row r="27" spans="1:17" ht="22.5" customHeight="1" x14ac:dyDescent="0.35">
      <c r="A27" s="14" t="s">
        <v>320</v>
      </c>
      <c r="B27" s="20">
        <v>1</v>
      </c>
      <c r="C27" s="14" t="s">
        <v>164</v>
      </c>
      <c r="D27" s="14">
        <v>51</v>
      </c>
      <c r="E27" s="14" t="s">
        <v>18</v>
      </c>
      <c r="F27" s="14" t="s">
        <v>19</v>
      </c>
      <c r="G27" s="14">
        <v>4</v>
      </c>
      <c r="H27" s="14">
        <v>4</v>
      </c>
      <c r="I27" s="14">
        <v>4</v>
      </c>
      <c r="J27" s="14">
        <v>5</v>
      </c>
      <c r="K27" s="14">
        <v>3</v>
      </c>
      <c r="L27" s="14" t="s">
        <v>20</v>
      </c>
      <c r="M27" s="14" t="s">
        <v>43</v>
      </c>
      <c r="N27" s="14" t="s">
        <v>83</v>
      </c>
      <c r="O27" s="14" t="s">
        <v>33</v>
      </c>
      <c r="P27" s="14" t="s">
        <v>24</v>
      </c>
      <c r="Q27" s="14" t="s">
        <v>25</v>
      </c>
    </row>
    <row r="28" spans="1:17" ht="22.5" customHeight="1" x14ac:dyDescent="0.35">
      <c r="A28" s="14" t="s">
        <v>320</v>
      </c>
      <c r="B28" s="20">
        <v>1</v>
      </c>
      <c r="C28" s="14" t="s">
        <v>165</v>
      </c>
      <c r="D28" s="14">
        <v>35</v>
      </c>
      <c r="E28" s="14" t="s">
        <v>18</v>
      </c>
      <c r="F28" s="14" t="s">
        <v>38</v>
      </c>
      <c r="G28" s="14">
        <v>4</v>
      </c>
      <c r="H28" s="14">
        <v>3</v>
      </c>
      <c r="I28" s="14">
        <v>4</v>
      </c>
      <c r="J28" s="14">
        <v>4</v>
      </c>
      <c r="K28" s="14">
        <v>4</v>
      </c>
      <c r="L28" s="14" t="s">
        <v>51</v>
      </c>
      <c r="M28" s="14" t="s">
        <v>43</v>
      </c>
      <c r="N28" s="14" t="s">
        <v>166</v>
      </c>
      <c r="O28" s="14" t="s">
        <v>53</v>
      </c>
      <c r="P28" s="14" t="s">
        <v>24</v>
      </c>
      <c r="Q28" s="14" t="s">
        <v>41</v>
      </c>
    </row>
    <row r="29" spans="1:17" ht="22.5" customHeight="1" x14ac:dyDescent="0.35">
      <c r="A29" s="14" t="s">
        <v>320</v>
      </c>
      <c r="B29" s="20">
        <v>1</v>
      </c>
      <c r="C29" s="14" t="s">
        <v>167</v>
      </c>
      <c r="D29" s="14">
        <v>27</v>
      </c>
      <c r="E29" s="14" t="s">
        <v>18</v>
      </c>
      <c r="F29" s="14" t="s">
        <v>38</v>
      </c>
      <c r="G29" s="14">
        <v>4</v>
      </c>
      <c r="H29" s="14">
        <v>4</v>
      </c>
      <c r="I29" s="14">
        <v>3</v>
      </c>
      <c r="J29" s="14">
        <v>5</v>
      </c>
      <c r="K29" s="14">
        <v>5</v>
      </c>
      <c r="L29" s="14" t="s">
        <v>20</v>
      </c>
      <c r="M29" s="14" t="s">
        <v>43</v>
      </c>
      <c r="N29" s="14" t="s">
        <v>83</v>
      </c>
      <c r="O29" s="14" t="s">
        <v>53</v>
      </c>
      <c r="P29" s="14" t="s">
        <v>24</v>
      </c>
      <c r="Q29" s="14" t="s">
        <v>41</v>
      </c>
    </row>
    <row r="30" spans="1:17" ht="22.5" customHeight="1" x14ac:dyDescent="0.35">
      <c r="A30" s="14" t="s">
        <v>320</v>
      </c>
      <c r="B30" s="20">
        <v>1</v>
      </c>
      <c r="C30" s="14" t="s">
        <v>168</v>
      </c>
      <c r="D30" s="14">
        <v>30</v>
      </c>
      <c r="E30" s="14" t="s">
        <v>18</v>
      </c>
      <c r="F30" s="14" t="s">
        <v>38</v>
      </c>
      <c r="G30" s="14">
        <v>4</v>
      </c>
      <c r="H30" s="14">
        <v>4</v>
      </c>
      <c r="I30" s="14">
        <v>4</v>
      </c>
      <c r="J30" s="14">
        <v>5</v>
      </c>
      <c r="K30" s="14">
        <v>4</v>
      </c>
      <c r="L30" s="14" t="s">
        <v>20</v>
      </c>
      <c r="M30" s="14" t="s">
        <v>43</v>
      </c>
      <c r="N30" s="14" t="s">
        <v>169</v>
      </c>
      <c r="O30" s="14" t="s">
        <v>40</v>
      </c>
      <c r="P30" s="14" t="s">
        <v>24</v>
      </c>
      <c r="Q30" s="14" t="s">
        <v>41</v>
      </c>
    </row>
    <row r="31" spans="1:17" ht="22.5" customHeight="1" x14ac:dyDescent="0.35">
      <c r="A31" s="14" t="s">
        <v>320</v>
      </c>
      <c r="B31" s="20">
        <v>1</v>
      </c>
      <c r="C31" s="14" t="s">
        <v>170</v>
      </c>
      <c r="D31" s="14">
        <v>30</v>
      </c>
      <c r="E31" s="14" t="s">
        <v>18</v>
      </c>
      <c r="F31" s="14" t="s">
        <v>38</v>
      </c>
      <c r="G31" s="14">
        <v>4</v>
      </c>
      <c r="H31" s="14">
        <v>4</v>
      </c>
      <c r="I31" s="14">
        <v>4</v>
      </c>
      <c r="J31" s="14">
        <v>5</v>
      </c>
      <c r="K31" s="14">
        <v>4</v>
      </c>
      <c r="L31" s="14" t="s">
        <v>20</v>
      </c>
      <c r="M31" s="14" t="s">
        <v>43</v>
      </c>
      <c r="N31" s="14" t="s">
        <v>171</v>
      </c>
      <c r="O31" s="14" t="s">
        <v>40</v>
      </c>
      <c r="P31" s="14" t="s">
        <v>28</v>
      </c>
      <c r="Q31" s="14" t="s">
        <v>41</v>
      </c>
    </row>
    <row r="32" spans="1:17" ht="22.5" customHeight="1" x14ac:dyDescent="0.35">
      <c r="A32" s="14" t="s">
        <v>320</v>
      </c>
      <c r="B32" s="20">
        <v>1</v>
      </c>
      <c r="C32" s="14" t="s">
        <v>172</v>
      </c>
      <c r="D32" s="14">
        <v>30</v>
      </c>
      <c r="E32" s="14" t="s">
        <v>37</v>
      </c>
      <c r="F32" s="14" t="s">
        <v>38</v>
      </c>
      <c r="G32" s="14">
        <v>4</v>
      </c>
      <c r="H32" s="14">
        <v>4</v>
      </c>
      <c r="I32" s="14">
        <v>4</v>
      </c>
      <c r="J32" s="14">
        <v>5</v>
      </c>
      <c r="K32" s="14">
        <v>3</v>
      </c>
      <c r="L32" s="14" t="s">
        <v>20</v>
      </c>
      <c r="M32" s="14" t="s">
        <v>43</v>
      </c>
      <c r="N32" s="14" t="s">
        <v>83</v>
      </c>
      <c r="O32" s="14" t="s">
        <v>40</v>
      </c>
      <c r="P32" s="14" t="s">
        <v>24</v>
      </c>
      <c r="Q32" s="14" t="s">
        <v>25</v>
      </c>
    </row>
    <row r="33" spans="1:17" ht="22.5" customHeight="1" x14ac:dyDescent="0.35">
      <c r="A33" s="14" t="s">
        <v>320</v>
      </c>
      <c r="B33" s="20">
        <v>1</v>
      </c>
      <c r="C33" s="14" t="s">
        <v>173</v>
      </c>
      <c r="D33" s="14">
        <v>45</v>
      </c>
      <c r="E33" s="14" t="s">
        <v>18</v>
      </c>
      <c r="F33" s="14" t="s">
        <v>38</v>
      </c>
      <c r="G33" s="14">
        <v>4</v>
      </c>
      <c r="H33" s="14">
        <v>3</v>
      </c>
      <c r="I33" s="14">
        <v>4</v>
      </c>
      <c r="J33" s="14">
        <v>5</v>
      </c>
      <c r="K33" s="14">
        <v>3</v>
      </c>
      <c r="L33" s="14" t="s">
        <v>51</v>
      </c>
      <c r="M33" s="14" t="s">
        <v>43</v>
      </c>
      <c r="N33" s="14" t="s">
        <v>174</v>
      </c>
      <c r="O33" s="14" t="s">
        <v>53</v>
      </c>
      <c r="P33" s="14" t="s">
        <v>28</v>
      </c>
      <c r="Q33" s="14" t="s">
        <v>25</v>
      </c>
    </row>
    <row r="34" spans="1:17" ht="22.5" customHeight="1" x14ac:dyDescent="0.35">
      <c r="A34" s="14" t="s">
        <v>320</v>
      </c>
      <c r="B34" s="20">
        <v>1</v>
      </c>
      <c r="C34" s="14" t="s">
        <v>175</v>
      </c>
      <c r="D34" s="14">
        <v>31</v>
      </c>
      <c r="E34" s="14" t="s">
        <v>37</v>
      </c>
      <c r="F34" s="14" t="s">
        <v>38</v>
      </c>
      <c r="G34" s="14">
        <v>4</v>
      </c>
      <c r="H34" s="14">
        <v>3</v>
      </c>
      <c r="I34" s="14">
        <v>5</v>
      </c>
      <c r="J34" s="14">
        <v>5</v>
      </c>
      <c r="K34" s="14">
        <v>3</v>
      </c>
      <c r="L34" s="14" t="s">
        <v>20</v>
      </c>
      <c r="M34" s="14" t="s">
        <v>21</v>
      </c>
      <c r="N34" s="14" t="s">
        <v>176</v>
      </c>
      <c r="O34" s="14" t="s">
        <v>40</v>
      </c>
      <c r="P34" s="14" t="s">
        <v>24</v>
      </c>
      <c r="Q34" s="14" t="s">
        <v>41</v>
      </c>
    </row>
    <row r="35" spans="1:17" ht="22.5" customHeight="1" x14ac:dyDescent="0.35">
      <c r="A35" s="14" t="s">
        <v>320</v>
      </c>
      <c r="B35" s="20">
        <v>1</v>
      </c>
      <c r="C35" s="14" t="s">
        <v>177</v>
      </c>
      <c r="D35" s="14">
        <v>30</v>
      </c>
      <c r="E35" s="14" t="s">
        <v>37</v>
      </c>
      <c r="F35" s="14" t="s">
        <v>38</v>
      </c>
      <c r="G35" s="14">
        <v>3</v>
      </c>
      <c r="H35" s="14">
        <v>3</v>
      </c>
      <c r="I35" s="14">
        <v>4</v>
      </c>
      <c r="J35" s="14">
        <v>4</v>
      </c>
      <c r="K35" s="14">
        <v>4</v>
      </c>
      <c r="L35" s="14" t="s">
        <v>20</v>
      </c>
      <c r="M35" s="14" t="s">
        <v>43</v>
      </c>
      <c r="N35" s="14" t="s">
        <v>83</v>
      </c>
      <c r="O35" s="14" t="s">
        <v>40</v>
      </c>
      <c r="P35" s="14" t="s">
        <v>28</v>
      </c>
      <c r="Q35" s="14" t="s">
        <v>41</v>
      </c>
    </row>
    <row r="36" spans="1:17" ht="22.5" customHeight="1" x14ac:dyDescent="0.35">
      <c r="A36" s="14" t="s">
        <v>320</v>
      </c>
      <c r="B36" s="20">
        <v>1</v>
      </c>
      <c r="C36" s="14" t="s">
        <v>178</v>
      </c>
      <c r="D36" s="14">
        <v>40</v>
      </c>
      <c r="E36" s="14" t="s">
        <v>37</v>
      </c>
      <c r="F36" s="14" t="s">
        <v>38</v>
      </c>
      <c r="G36" s="14">
        <v>4</v>
      </c>
      <c r="H36" s="14">
        <v>3</v>
      </c>
      <c r="I36" s="14">
        <v>4</v>
      </c>
      <c r="J36" s="14">
        <v>4</v>
      </c>
      <c r="K36" s="14">
        <v>3</v>
      </c>
      <c r="L36" s="14" t="s">
        <v>20</v>
      </c>
      <c r="M36" s="14" t="s">
        <v>21</v>
      </c>
      <c r="N36" s="14" t="s">
        <v>94</v>
      </c>
      <c r="O36" s="14" t="s">
        <v>40</v>
      </c>
      <c r="P36" s="14" t="s">
        <v>24</v>
      </c>
      <c r="Q36" s="14" t="s">
        <v>41</v>
      </c>
    </row>
    <row r="37" spans="1:17" ht="22.5" customHeight="1" x14ac:dyDescent="0.35">
      <c r="A37" s="14" t="s">
        <v>320</v>
      </c>
      <c r="B37" s="20">
        <v>2</v>
      </c>
      <c r="C37" s="14" t="s">
        <v>179</v>
      </c>
      <c r="D37" s="14">
        <v>52</v>
      </c>
      <c r="E37" s="14" t="s">
        <v>18</v>
      </c>
      <c r="F37" s="14" t="s">
        <v>38</v>
      </c>
      <c r="G37" s="14">
        <v>3</v>
      </c>
      <c r="H37" s="14">
        <v>3</v>
      </c>
      <c r="I37" s="14">
        <v>4</v>
      </c>
      <c r="J37" s="14">
        <v>5</v>
      </c>
      <c r="K37" s="14">
        <v>3</v>
      </c>
      <c r="L37" s="14" t="s">
        <v>20</v>
      </c>
      <c r="M37" s="14" t="s">
        <v>21</v>
      </c>
      <c r="N37" s="14" t="s">
        <v>180</v>
      </c>
      <c r="O37" s="14" t="s">
        <v>33</v>
      </c>
      <c r="P37" s="14" t="s">
        <v>24</v>
      </c>
      <c r="Q37" s="14" t="s">
        <v>25</v>
      </c>
    </row>
    <row r="38" spans="1:17" ht="22.5" customHeight="1" x14ac:dyDescent="0.35">
      <c r="A38" s="14" t="s">
        <v>320</v>
      </c>
      <c r="B38" s="20">
        <v>1</v>
      </c>
      <c r="C38" s="14" t="s">
        <v>181</v>
      </c>
      <c r="D38" s="14">
        <v>40</v>
      </c>
      <c r="E38" s="14" t="s">
        <v>37</v>
      </c>
      <c r="F38" s="14" t="s">
        <v>38</v>
      </c>
      <c r="G38" s="14">
        <v>4</v>
      </c>
      <c r="H38" s="14">
        <v>3</v>
      </c>
      <c r="I38" s="14">
        <v>3</v>
      </c>
      <c r="J38" s="14">
        <v>4</v>
      </c>
      <c r="K38" s="14">
        <v>4</v>
      </c>
      <c r="L38" s="14" t="s">
        <v>20</v>
      </c>
      <c r="M38" s="14" t="s">
        <v>21</v>
      </c>
      <c r="N38" s="14" t="s">
        <v>182</v>
      </c>
      <c r="O38" s="14" t="s">
        <v>33</v>
      </c>
      <c r="P38" s="14" t="s">
        <v>24</v>
      </c>
      <c r="Q38" s="14" t="s">
        <v>25</v>
      </c>
    </row>
    <row r="39" spans="1:17" ht="22.5" customHeight="1" x14ac:dyDescent="0.35">
      <c r="A39" s="14" t="s">
        <v>320</v>
      </c>
      <c r="B39" s="20">
        <v>1</v>
      </c>
      <c r="C39" s="14" t="s">
        <v>183</v>
      </c>
      <c r="D39" s="14">
        <v>36</v>
      </c>
      <c r="E39" s="14" t="s">
        <v>37</v>
      </c>
      <c r="F39" s="14" t="s">
        <v>38</v>
      </c>
      <c r="G39" s="14">
        <v>4</v>
      </c>
      <c r="H39" s="14">
        <v>3</v>
      </c>
      <c r="I39" s="14">
        <v>3</v>
      </c>
      <c r="J39" s="14">
        <v>4</v>
      </c>
      <c r="K39" s="14">
        <v>4</v>
      </c>
      <c r="L39" s="14" t="s">
        <v>20</v>
      </c>
      <c r="M39" s="14" t="s">
        <v>21</v>
      </c>
      <c r="N39" s="14" t="s">
        <v>184</v>
      </c>
      <c r="O39" s="14" t="s">
        <v>40</v>
      </c>
      <c r="P39" s="14" t="s">
        <v>24</v>
      </c>
      <c r="Q39" s="14" t="s">
        <v>41</v>
      </c>
    </row>
    <row r="40" spans="1:17" ht="22.5" customHeight="1" x14ac:dyDescent="0.35">
      <c r="A40" s="14" t="s">
        <v>320</v>
      </c>
      <c r="B40" s="20">
        <v>1</v>
      </c>
      <c r="C40" s="14" t="s">
        <v>185</v>
      </c>
      <c r="D40" s="14">
        <v>29</v>
      </c>
      <c r="E40" s="14" t="s">
        <v>18</v>
      </c>
      <c r="F40" s="14" t="s">
        <v>38</v>
      </c>
      <c r="G40" s="14">
        <v>4</v>
      </c>
      <c r="H40" s="14">
        <v>4</v>
      </c>
      <c r="I40" s="14">
        <v>4</v>
      </c>
      <c r="J40" s="14">
        <v>3</v>
      </c>
      <c r="K40" s="14">
        <v>4</v>
      </c>
      <c r="L40" s="14" t="s">
        <v>20</v>
      </c>
      <c r="M40" s="14" t="s">
        <v>43</v>
      </c>
      <c r="N40" s="14" t="s">
        <v>83</v>
      </c>
      <c r="O40" s="14" t="s">
        <v>40</v>
      </c>
      <c r="P40" s="14" t="s">
        <v>24</v>
      </c>
      <c r="Q40" s="14" t="s">
        <v>41</v>
      </c>
    </row>
    <row r="41" spans="1:17" ht="22.5" customHeight="1" x14ac:dyDescent="0.35">
      <c r="A41" s="14" t="s">
        <v>320</v>
      </c>
      <c r="B41" s="20">
        <v>1</v>
      </c>
      <c r="C41" s="14" t="s">
        <v>186</v>
      </c>
      <c r="D41" s="14">
        <v>49</v>
      </c>
      <c r="E41" s="14" t="s">
        <v>37</v>
      </c>
      <c r="F41" s="14" t="s">
        <v>19</v>
      </c>
      <c r="G41" s="14">
        <v>4</v>
      </c>
      <c r="H41" s="14">
        <v>4</v>
      </c>
      <c r="I41" s="14">
        <v>3</v>
      </c>
      <c r="J41" s="14">
        <v>4</v>
      </c>
      <c r="K41" s="14">
        <v>4</v>
      </c>
      <c r="L41" s="14" t="s">
        <v>20</v>
      </c>
      <c r="M41" s="14" t="s">
        <v>21</v>
      </c>
      <c r="N41" s="14" t="s">
        <v>187</v>
      </c>
      <c r="O41" s="14" t="s">
        <v>33</v>
      </c>
      <c r="P41" s="14" t="s">
        <v>28</v>
      </c>
      <c r="Q41" s="14" t="s">
        <v>25</v>
      </c>
    </row>
    <row r="42" spans="1:17" ht="22.5" customHeight="1" x14ac:dyDescent="0.35">
      <c r="A42" s="14" t="s">
        <v>320</v>
      </c>
      <c r="B42" s="20">
        <v>1</v>
      </c>
      <c r="C42" s="14" t="s">
        <v>188</v>
      </c>
      <c r="D42" s="14">
        <v>32</v>
      </c>
      <c r="E42" s="14" t="s">
        <v>18</v>
      </c>
      <c r="F42" s="14" t="s">
        <v>19</v>
      </c>
      <c r="G42" s="14">
        <v>3</v>
      </c>
      <c r="H42" s="14">
        <v>3</v>
      </c>
      <c r="I42" s="14">
        <v>4</v>
      </c>
      <c r="J42" s="14">
        <v>3</v>
      </c>
      <c r="K42" s="14">
        <v>4</v>
      </c>
      <c r="L42" s="14" t="s">
        <v>20</v>
      </c>
      <c r="M42" s="14" t="s">
        <v>43</v>
      </c>
      <c r="N42" s="14" t="s">
        <v>67</v>
      </c>
      <c r="O42" s="14" t="s">
        <v>40</v>
      </c>
      <c r="P42" s="14" t="s">
        <v>24</v>
      </c>
      <c r="Q42" s="14" t="s">
        <v>41</v>
      </c>
    </row>
    <row r="43" spans="1:17" ht="12.75" x14ac:dyDescent="0.35">
      <c r="B43" s="21"/>
      <c r="J43" s="22"/>
    </row>
    <row r="44" spans="1:17" ht="12.75" x14ac:dyDescent="0.35">
      <c r="B44" s="23" t="s">
        <v>321</v>
      </c>
      <c r="D44" s="24">
        <v>45</v>
      </c>
      <c r="J44" s="22"/>
    </row>
    <row r="45" spans="1:17" ht="12.75" x14ac:dyDescent="0.35">
      <c r="B45" s="23" t="s">
        <v>322</v>
      </c>
      <c r="D45" s="24">
        <v>4</v>
      </c>
      <c r="J45" s="22"/>
    </row>
    <row r="46" spans="1:17" ht="12.75" x14ac:dyDescent="0.35">
      <c r="B46" s="23" t="s">
        <v>323</v>
      </c>
      <c r="D46" s="24">
        <v>41</v>
      </c>
      <c r="J46" s="22"/>
    </row>
    <row r="47" spans="1:17" ht="12.75" x14ac:dyDescent="0.35">
      <c r="B47" s="21"/>
      <c r="J47" s="22"/>
    </row>
    <row r="48" spans="1:17" ht="12.75" x14ac:dyDescent="0.35">
      <c r="B48" s="21" t="s">
        <v>327</v>
      </c>
      <c r="J48" s="22"/>
    </row>
    <row r="49" spans="2:10" ht="12.75" x14ac:dyDescent="0.35">
      <c r="B49" s="25" t="s">
        <v>328</v>
      </c>
      <c r="J49" s="22"/>
    </row>
    <row r="50" spans="2:10" ht="12.75" x14ac:dyDescent="0.35">
      <c r="B50" s="25" t="s">
        <v>329</v>
      </c>
      <c r="J50" s="22"/>
    </row>
    <row r="51" spans="2:10" ht="12.75" x14ac:dyDescent="0.35">
      <c r="B51" s="21"/>
      <c r="J51" s="22"/>
    </row>
    <row r="52" spans="2:10" ht="12.75" x14ac:dyDescent="0.35">
      <c r="B52" s="21"/>
      <c r="J52" s="22"/>
    </row>
    <row r="53" spans="2:10" ht="12.75" x14ac:dyDescent="0.35">
      <c r="B53" s="21"/>
      <c r="J53" s="22"/>
    </row>
    <row r="54" spans="2:10" ht="12.75" x14ac:dyDescent="0.35">
      <c r="B54" s="21"/>
      <c r="J54" s="22"/>
    </row>
    <row r="55" spans="2:10" ht="12.75" x14ac:dyDescent="0.35">
      <c r="B55" s="21"/>
      <c r="J55" s="22"/>
    </row>
    <row r="56" spans="2:10" ht="12.75" x14ac:dyDescent="0.35">
      <c r="B56" s="21"/>
      <c r="J56" s="22"/>
    </row>
    <row r="57" spans="2:10" ht="12.75" x14ac:dyDescent="0.35">
      <c r="B57" s="21"/>
      <c r="J57" s="22"/>
    </row>
    <row r="58" spans="2:10" ht="12.75" x14ac:dyDescent="0.35">
      <c r="B58" s="21"/>
      <c r="J58" s="22"/>
    </row>
    <row r="59" spans="2:10" ht="12.75" x14ac:dyDescent="0.35">
      <c r="B59" s="21"/>
      <c r="J59" s="22"/>
    </row>
    <row r="60" spans="2:10" ht="12.75" x14ac:dyDescent="0.35">
      <c r="B60" s="21"/>
      <c r="J60" s="22"/>
    </row>
    <row r="61" spans="2:10" ht="12.75" x14ac:dyDescent="0.35">
      <c r="B61" s="21"/>
      <c r="J61" s="22"/>
    </row>
    <row r="62" spans="2:10" ht="12.75" x14ac:dyDescent="0.35">
      <c r="B62" s="21"/>
      <c r="J62" s="22"/>
    </row>
    <row r="63" spans="2:10" ht="12.75" x14ac:dyDescent="0.35">
      <c r="B63" s="21"/>
      <c r="J63" s="22"/>
    </row>
    <row r="64" spans="2:10" ht="12.75" x14ac:dyDescent="0.35">
      <c r="B64" s="21"/>
      <c r="J64" s="22"/>
    </row>
    <row r="65" spans="2:10" ht="12.75" x14ac:dyDescent="0.35">
      <c r="B65" s="21"/>
      <c r="J65" s="22"/>
    </row>
    <row r="66" spans="2:10" ht="12.75" x14ac:dyDescent="0.35">
      <c r="B66" s="21"/>
      <c r="J66" s="22"/>
    </row>
    <row r="67" spans="2:10" ht="12.75" x14ac:dyDescent="0.35">
      <c r="B67" s="21"/>
      <c r="J67" s="22"/>
    </row>
    <row r="68" spans="2:10" ht="12.75" x14ac:dyDescent="0.35">
      <c r="B68" s="21"/>
      <c r="J68" s="22"/>
    </row>
    <row r="69" spans="2:10" ht="12.75" x14ac:dyDescent="0.35">
      <c r="B69" s="21"/>
      <c r="J69" s="22"/>
    </row>
    <row r="70" spans="2:10" ht="12.75" x14ac:dyDescent="0.35">
      <c r="B70" s="21"/>
      <c r="J70" s="22"/>
    </row>
    <row r="71" spans="2:10" ht="12.75" x14ac:dyDescent="0.35">
      <c r="B71" s="21"/>
      <c r="J71" s="22"/>
    </row>
    <row r="72" spans="2:10" ht="12.75" x14ac:dyDescent="0.35">
      <c r="B72" s="21"/>
      <c r="J72" s="22"/>
    </row>
    <row r="73" spans="2:10" ht="12.75" x14ac:dyDescent="0.35">
      <c r="B73" s="21"/>
      <c r="J73" s="22"/>
    </row>
    <row r="74" spans="2:10" ht="12.75" x14ac:dyDescent="0.35">
      <c r="B74" s="21"/>
      <c r="J74" s="22"/>
    </row>
    <row r="75" spans="2:10" ht="12.75" x14ac:dyDescent="0.35">
      <c r="B75" s="21"/>
      <c r="J75" s="22"/>
    </row>
    <row r="76" spans="2:10" ht="12.75" x14ac:dyDescent="0.35">
      <c r="B76" s="21"/>
      <c r="J76" s="22"/>
    </row>
    <row r="77" spans="2:10" ht="12.75" x14ac:dyDescent="0.35">
      <c r="B77" s="21"/>
      <c r="J77" s="22"/>
    </row>
    <row r="78" spans="2:10" ht="12.75" x14ac:dyDescent="0.35">
      <c r="B78" s="21"/>
      <c r="J78" s="22"/>
    </row>
    <row r="79" spans="2:10" ht="12.75" x14ac:dyDescent="0.35">
      <c r="B79" s="21"/>
      <c r="J79" s="22"/>
    </row>
    <row r="80" spans="2:10" ht="12.75" x14ac:dyDescent="0.35">
      <c r="B80" s="21"/>
      <c r="J80" s="22"/>
    </row>
    <row r="81" spans="2:10" ht="12.75" x14ac:dyDescent="0.35">
      <c r="B81" s="21"/>
      <c r="J81" s="22"/>
    </row>
    <row r="82" spans="2:10" ht="12.75" x14ac:dyDescent="0.35">
      <c r="B82" s="21"/>
      <c r="J82" s="22"/>
    </row>
    <row r="83" spans="2:10" ht="12.75" x14ac:dyDescent="0.35">
      <c r="B83" s="21"/>
      <c r="J83" s="22"/>
    </row>
    <row r="84" spans="2:10" ht="12.75" x14ac:dyDescent="0.35">
      <c r="B84" s="21"/>
      <c r="J84" s="22"/>
    </row>
    <row r="85" spans="2:10" ht="12.75" x14ac:dyDescent="0.35">
      <c r="B85" s="21"/>
      <c r="J85" s="22"/>
    </row>
    <row r="86" spans="2:10" ht="12.75" x14ac:dyDescent="0.35">
      <c r="B86" s="21"/>
      <c r="J86" s="22"/>
    </row>
    <row r="87" spans="2:10" ht="12.75" x14ac:dyDescent="0.35">
      <c r="B87" s="21"/>
      <c r="J87" s="22"/>
    </row>
    <row r="88" spans="2:10" ht="12.75" x14ac:dyDescent="0.35">
      <c r="B88" s="21"/>
      <c r="J88" s="22"/>
    </row>
    <row r="89" spans="2:10" ht="12.75" x14ac:dyDescent="0.35">
      <c r="B89" s="21"/>
      <c r="J89" s="22"/>
    </row>
    <row r="90" spans="2:10" ht="12.75" x14ac:dyDescent="0.35">
      <c r="B90" s="21"/>
      <c r="J90" s="22"/>
    </row>
    <row r="91" spans="2:10" ht="12.75" x14ac:dyDescent="0.35">
      <c r="B91" s="21"/>
      <c r="J91" s="22"/>
    </row>
    <row r="92" spans="2:10" ht="12.75" x14ac:dyDescent="0.35">
      <c r="B92" s="21"/>
      <c r="J92" s="22"/>
    </row>
    <row r="93" spans="2:10" ht="12.75" x14ac:dyDescent="0.35">
      <c r="B93" s="21"/>
      <c r="J93" s="22"/>
    </row>
    <row r="94" spans="2:10" ht="12.75" x14ac:dyDescent="0.35">
      <c r="B94" s="21"/>
      <c r="J94" s="22"/>
    </row>
    <row r="95" spans="2:10" ht="12.75" x14ac:dyDescent="0.35">
      <c r="B95" s="21"/>
      <c r="J95" s="22"/>
    </row>
    <row r="96" spans="2:10" ht="12.75" x14ac:dyDescent="0.35">
      <c r="B96" s="21"/>
      <c r="J96" s="22"/>
    </row>
    <row r="97" spans="2:10" ht="12.75" x14ac:dyDescent="0.35">
      <c r="B97" s="21"/>
      <c r="J97" s="22"/>
    </row>
    <row r="98" spans="2:10" ht="12.75" x14ac:dyDescent="0.35">
      <c r="B98" s="21"/>
      <c r="J98" s="22"/>
    </row>
    <row r="99" spans="2:10" ht="12.75" x14ac:dyDescent="0.35">
      <c r="B99" s="21"/>
      <c r="J99" s="22"/>
    </row>
    <row r="100" spans="2:10" ht="12.75" x14ac:dyDescent="0.35">
      <c r="B100" s="21"/>
      <c r="J100" s="22"/>
    </row>
  </sheetData>
  <hyperlinks>
    <hyperlink ref="B49" r:id="rId1" xr:uid="{00000000-0004-0000-0200-000000000000}"/>
    <hyperlink ref="B50" r:id="rId2" xr:uid="{00000000-0004-0000-0200-000001000000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35"/>
  <cols>
    <col min="1" max="1" width="16.46484375" customWidth="1"/>
    <col min="2" max="2" width="11.19921875" customWidth="1"/>
    <col min="3" max="3" width="18.86328125" customWidth="1"/>
    <col min="4" max="4" width="6.86328125" customWidth="1"/>
    <col min="5" max="5" width="18.86328125" customWidth="1"/>
    <col min="6" max="6" width="13.33203125" customWidth="1"/>
    <col min="7" max="7" width="6.796875" customWidth="1"/>
    <col min="8" max="8" width="8.19921875" customWidth="1"/>
    <col min="9" max="9" width="6.46484375" customWidth="1"/>
    <col min="10" max="10" width="7.19921875" customWidth="1"/>
    <col min="11" max="11" width="5.86328125" customWidth="1"/>
    <col min="12" max="12" width="23.796875" customWidth="1"/>
    <col min="13" max="13" width="18.86328125" customWidth="1"/>
    <col min="14" max="14" width="37.6640625" customWidth="1"/>
    <col min="15" max="15" width="18.86328125" customWidth="1"/>
    <col min="16" max="16" width="19.6640625" customWidth="1"/>
    <col min="17" max="17" width="25.796875" customWidth="1"/>
    <col min="18" max="22" width="18.86328125" customWidth="1"/>
  </cols>
  <sheetData>
    <row r="1" spans="1:22" ht="22.5" customHeight="1" x14ac:dyDescent="0.35">
      <c r="A1" s="3" t="s">
        <v>313</v>
      </c>
      <c r="B1" s="18" t="s">
        <v>314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315</v>
      </c>
      <c r="H1" s="3" t="s">
        <v>316</v>
      </c>
      <c r="I1" s="3" t="s">
        <v>317</v>
      </c>
      <c r="J1" s="26" t="s">
        <v>318</v>
      </c>
      <c r="K1" s="3" t="s">
        <v>319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7"/>
      <c r="S1" s="27"/>
      <c r="T1" s="27"/>
      <c r="U1" s="27"/>
      <c r="V1" s="27"/>
    </row>
    <row r="2" spans="1:22" ht="22.5" customHeight="1" x14ac:dyDescent="0.35">
      <c r="A2" s="14" t="s">
        <v>320</v>
      </c>
      <c r="B2" s="20">
        <v>3</v>
      </c>
      <c r="C2" s="14" t="s">
        <v>189</v>
      </c>
      <c r="D2" s="14">
        <v>27</v>
      </c>
      <c r="E2" s="14" t="s">
        <v>18</v>
      </c>
      <c r="F2" s="14" t="s">
        <v>38</v>
      </c>
      <c r="G2" s="14">
        <v>4</v>
      </c>
      <c r="H2" s="14">
        <v>5</v>
      </c>
      <c r="I2" s="14">
        <v>5</v>
      </c>
      <c r="J2" s="14">
        <v>4</v>
      </c>
      <c r="K2" s="14">
        <v>4</v>
      </c>
      <c r="L2" s="14" t="s">
        <v>20</v>
      </c>
      <c r="M2" s="14" t="s">
        <v>43</v>
      </c>
      <c r="N2" s="14" t="s">
        <v>190</v>
      </c>
      <c r="O2" s="14" t="s">
        <v>53</v>
      </c>
      <c r="P2" s="14" t="s">
        <v>24</v>
      </c>
      <c r="Q2" s="14" t="s">
        <v>41</v>
      </c>
    </row>
    <row r="3" spans="1:22" ht="22.5" customHeight="1" x14ac:dyDescent="0.35">
      <c r="A3" s="14" t="s">
        <v>320</v>
      </c>
      <c r="B3" s="20">
        <v>5</v>
      </c>
      <c r="C3" s="14" t="s">
        <v>191</v>
      </c>
      <c r="D3" s="14">
        <v>37</v>
      </c>
      <c r="E3" s="14" t="s">
        <v>18</v>
      </c>
      <c r="F3" s="14" t="s">
        <v>38</v>
      </c>
      <c r="G3" s="14">
        <v>5</v>
      </c>
      <c r="H3" s="14">
        <v>5</v>
      </c>
      <c r="I3" s="14">
        <v>5</v>
      </c>
      <c r="J3" s="14">
        <v>5</v>
      </c>
      <c r="K3" s="14">
        <v>5</v>
      </c>
      <c r="L3" s="14" t="s">
        <v>20</v>
      </c>
      <c r="M3" s="14" t="s">
        <v>21</v>
      </c>
      <c r="N3" s="14" t="s">
        <v>192</v>
      </c>
      <c r="O3" s="14" t="s">
        <v>53</v>
      </c>
      <c r="P3" s="14" t="s">
        <v>24</v>
      </c>
      <c r="Q3" s="14" t="s">
        <v>41</v>
      </c>
    </row>
    <row r="4" spans="1:22" ht="22.5" customHeight="1" x14ac:dyDescent="0.35">
      <c r="A4" s="14" t="s">
        <v>320</v>
      </c>
      <c r="B4" s="20">
        <v>5</v>
      </c>
      <c r="C4" s="14" t="s">
        <v>193</v>
      </c>
      <c r="D4" s="14">
        <v>34</v>
      </c>
      <c r="E4" s="14" t="s">
        <v>18</v>
      </c>
      <c r="F4" s="14" t="s">
        <v>19</v>
      </c>
      <c r="G4" s="14">
        <v>5</v>
      </c>
      <c r="H4" s="14">
        <v>5</v>
      </c>
      <c r="I4" s="14">
        <v>5</v>
      </c>
      <c r="J4" s="14">
        <v>5</v>
      </c>
      <c r="K4" s="14">
        <v>5</v>
      </c>
      <c r="L4" s="14" t="s">
        <v>20</v>
      </c>
      <c r="M4" s="14" t="s">
        <v>43</v>
      </c>
      <c r="N4" s="14" t="s">
        <v>194</v>
      </c>
      <c r="O4" s="14" t="s">
        <v>40</v>
      </c>
      <c r="P4" s="14" t="s">
        <v>28</v>
      </c>
      <c r="Q4" s="14" t="s">
        <v>41</v>
      </c>
    </row>
    <row r="5" spans="1:22" ht="22.5" customHeight="1" x14ac:dyDescent="0.35">
      <c r="A5" s="14" t="s">
        <v>320</v>
      </c>
      <c r="B5" s="20">
        <v>4</v>
      </c>
      <c r="C5" s="14" t="s">
        <v>195</v>
      </c>
      <c r="D5" s="14">
        <v>27</v>
      </c>
      <c r="E5" s="14" t="s">
        <v>37</v>
      </c>
      <c r="F5" s="14" t="s">
        <v>38</v>
      </c>
      <c r="G5" s="14">
        <v>3</v>
      </c>
      <c r="H5" s="14">
        <v>4</v>
      </c>
      <c r="I5" s="14">
        <v>5</v>
      </c>
      <c r="J5" s="14">
        <v>5</v>
      </c>
      <c r="K5" s="14">
        <v>4</v>
      </c>
      <c r="L5" s="14" t="s">
        <v>20</v>
      </c>
      <c r="M5" s="14" t="s">
        <v>21</v>
      </c>
      <c r="N5" s="14" t="s">
        <v>196</v>
      </c>
      <c r="O5" s="14" t="s">
        <v>53</v>
      </c>
      <c r="P5" s="14" t="s">
        <v>28</v>
      </c>
      <c r="Q5" s="14" t="s">
        <v>41</v>
      </c>
    </row>
    <row r="6" spans="1:22" ht="22.5" customHeight="1" x14ac:dyDescent="0.35">
      <c r="A6" s="14" t="s">
        <v>320</v>
      </c>
      <c r="B6" s="20">
        <v>3</v>
      </c>
      <c r="C6" s="14" t="s">
        <v>197</v>
      </c>
      <c r="D6" s="14">
        <v>32</v>
      </c>
      <c r="E6" s="14" t="s">
        <v>18</v>
      </c>
      <c r="F6" s="14" t="s">
        <v>198</v>
      </c>
      <c r="G6" s="14">
        <v>5</v>
      </c>
      <c r="H6" s="14">
        <v>4</v>
      </c>
      <c r="I6" s="14">
        <v>5</v>
      </c>
      <c r="J6" s="14">
        <v>5</v>
      </c>
      <c r="K6" s="14">
        <v>5</v>
      </c>
      <c r="L6" s="14" t="s">
        <v>20</v>
      </c>
      <c r="M6" s="14" t="s">
        <v>21</v>
      </c>
      <c r="N6" s="14" t="s">
        <v>199</v>
      </c>
      <c r="O6" s="14" t="s">
        <v>40</v>
      </c>
      <c r="P6" s="14" t="s">
        <v>124</v>
      </c>
      <c r="Q6" s="14" t="s">
        <v>125</v>
      </c>
    </row>
    <row r="7" spans="1:22" ht="22.5" customHeight="1" x14ac:dyDescent="0.35">
      <c r="A7" s="14" t="s">
        <v>320</v>
      </c>
      <c r="B7" s="20">
        <v>5</v>
      </c>
      <c r="C7" s="14" t="s">
        <v>200</v>
      </c>
      <c r="D7" s="14">
        <v>51</v>
      </c>
      <c r="E7" s="14" t="s">
        <v>18</v>
      </c>
      <c r="F7" s="14" t="s">
        <v>19</v>
      </c>
      <c r="G7" s="14">
        <v>5</v>
      </c>
      <c r="H7" s="14">
        <v>4</v>
      </c>
      <c r="I7" s="14">
        <v>5</v>
      </c>
      <c r="J7" s="14">
        <v>5</v>
      </c>
      <c r="K7" s="14">
        <v>5</v>
      </c>
      <c r="L7" s="14" t="s">
        <v>20</v>
      </c>
      <c r="M7" s="14" t="s">
        <v>21</v>
      </c>
      <c r="N7" s="14" t="s">
        <v>201</v>
      </c>
      <c r="O7" s="14" t="s">
        <v>33</v>
      </c>
      <c r="P7" s="14" t="s">
        <v>24</v>
      </c>
      <c r="Q7" s="14" t="s">
        <v>25</v>
      </c>
    </row>
    <row r="8" spans="1:22" ht="22.5" customHeight="1" x14ac:dyDescent="0.35">
      <c r="A8" s="14" t="s">
        <v>320</v>
      </c>
      <c r="B8" s="20">
        <v>5</v>
      </c>
      <c r="C8" s="14" t="s">
        <v>202</v>
      </c>
      <c r="D8" s="14">
        <v>45</v>
      </c>
      <c r="E8" s="14" t="s">
        <v>37</v>
      </c>
      <c r="F8" s="14" t="s">
        <v>38</v>
      </c>
      <c r="G8" s="14">
        <v>4</v>
      </c>
      <c r="H8" s="14">
        <v>4</v>
      </c>
      <c r="I8" s="14">
        <v>4</v>
      </c>
      <c r="J8" s="14">
        <v>5</v>
      </c>
      <c r="K8" s="14">
        <v>4</v>
      </c>
      <c r="L8" s="14" t="s">
        <v>20</v>
      </c>
      <c r="M8" s="14" t="s">
        <v>21</v>
      </c>
      <c r="N8" s="14" t="s">
        <v>203</v>
      </c>
      <c r="O8" s="14" t="s">
        <v>23</v>
      </c>
      <c r="P8" s="14" t="s">
        <v>24</v>
      </c>
      <c r="Q8" s="14" t="s">
        <v>25</v>
      </c>
    </row>
    <row r="9" spans="1:22" ht="22.5" customHeight="1" x14ac:dyDescent="0.35">
      <c r="A9" s="14" t="s">
        <v>320</v>
      </c>
      <c r="B9" s="20">
        <v>3</v>
      </c>
      <c r="C9" s="14" t="s">
        <v>204</v>
      </c>
      <c r="D9" s="14">
        <v>41</v>
      </c>
      <c r="E9" s="14" t="s">
        <v>37</v>
      </c>
      <c r="F9" s="14" t="s">
        <v>38</v>
      </c>
      <c r="G9" s="14">
        <v>3</v>
      </c>
      <c r="H9" s="14">
        <v>5</v>
      </c>
      <c r="I9" s="14">
        <v>4</v>
      </c>
      <c r="J9" s="14">
        <v>4</v>
      </c>
      <c r="K9" s="14">
        <v>5</v>
      </c>
      <c r="L9" s="14" t="s">
        <v>51</v>
      </c>
      <c r="M9" s="14" t="s">
        <v>21</v>
      </c>
      <c r="N9" s="14" t="s">
        <v>205</v>
      </c>
      <c r="O9" s="14" t="s">
        <v>53</v>
      </c>
      <c r="P9" s="14" t="s">
        <v>24</v>
      </c>
      <c r="Q9" s="14" t="s">
        <v>41</v>
      </c>
    </row>
    <row r="10" spans="1:22" ht="22.5" customHeight="1" x14ac:dyDescent="0.35">
      <c r="A10" s="14" t="s">
        <v>320</v>
      </c>
      <c r="B10" s="20">
        <v>5</v>
      </c>
      <c r="C10" s="14" t="s">
        <v>206</v>
      </c>
      <c r="D10" s="14">
        <v>37</v>
      </c>
      <c r="E10" s="14" t="s">
        <v>18</v>
      </c>
      <c r="F10" s="14" t="s">
        <v>19</v>
      </c>
      <c r="G10" s="14">
        <v>5</v>
      </c>
      <c r="H10" s="14">
        <v>5</v>
      </c>
      <c r="I10" s="14">
        <v>4</v>
      </c>
      <c r="J10" s="14">
        <v>4</v>
      </c>
      <c r="K10" s="14">
        <v>5</v>
      </c>
      <c r="L10" s="14" t="s">
        <v>20</v>
      </c>
      <c r="M10" s="14" t="s">
        <v>21</v>
      </c>
      <c r="N10" s="14" t="s">
        <v>207</v>
      </c>
      <c r="O10" s="14" t="s">
        <v>40</v>
      </c>
      <c r="P10" s="14" t="s">
        <v>24</v>
      </c>
      <c r="Q10" s="14" t="s">
        <v>41</v>
      </c>
    </row>
    <row r="11" spans="1:22" ht="22.5" customHeight="1" x14ac:dyDescent="0.35">
      <c r="A11" s="14" t="s">
        <v>320</v>
      </c>
      <c r="B11" s="20">
        <v>4</v>
      </c>
      <c r="C11" s="14" t="s">
        <v>208</v>
      </c>
      <c r="D11" s="14">
        <v>50</v>
      </c>
      <c r="E11" s="14" t="s">
        <v>18</v>
      </c>
      <c r="F11" s="14" t="s">
        <v>38</v>
      </c>
      <c r="G11" s="14">
        <v>5</v>
      </c>
      <c r="H11" s="14">
        <v>5</v>
      </c>
      <c r="I11" s="14">
        <v>5</v>
      </c>
      <c r="J11" s="14">
        <v>5</v>
      </c>
      <c r="K11" s="14">
        <v>5</v>
      </c>
      <c r="L11" s="14" t="s">
        <v>20</v>
      </c>
      <c r="M11" s="14" t="s">
        <v>21</v>
      </c>
      <c r="N11" s="14" t="s">
        <v>209</v>
      </c>
      <c r="O11" s="14" t="s">
        <v>33</v>
      </c>
      <c r="P11" s="14" t="s">
        <v>24</v>
      </c>
      <c r="Q11" s="14" t="s">
        <v>25</v>
      </c>
    </row>
    <row r="12" spans="1:22" ht="22.5" customHeight="1" x14ac:dyDescent="0.35">
      <c r="A12" s="14" t="s">
        <v>320</v>
      </c>
      <c r="B12" s="20">
        <v>5</v>
      </c>
      <c r="C12" s="14" t="s">
        <v>210</v>
      </c>
      <c r="D12" s="14">
        <v>31</v>
      </c>
      <c r="E12" s="14" t="s">
        <v>37</v>
      </c>
      <c r="F12" s="14" t="s">
        <v>38</v>
      </c>
      <c r="G12" s="14">
        <v>5</v>
      </c>
      <c r="H12" s="14">
        <v>4</v>
      </c>
      <c r="I12" s="14">
        <v>5</v>
      </c>
      <c r="J12" s="14">
        <v>5</v>
      </c>
      <c r="K12" s="14">
        <v>4</v>
      </c>
      <c r="L12" s="14" t="s">
        <v>20</v>
      </c>
      <c r="M12" s="14" t="s">
        <v>43</v>
      </c>
      <c r="N12" s="14" t="s">
        <v>83</v>
      </c>
      <c r="O12" s="14" t="s">
        <v>40</v>
      </c>
      <c r="P12" s="14" t="s">
        <v>24</v>
      </c>
      <c r="Q12" s="14" t="s">
        <v>41</v>
      </c>
    </row>
    <row r="13" spans="1:22" ht="22.5" customHeight="1" x14ac:dyDescent="0.35">
      <c r="A13" s="14" t="s">
        <v>320</v>
      </c>
      <c r="B13" s="20">
        <v>5</v>
      </c>
      <c r="C13" s="14" t="s">
        <v>211</v>
      </c>
      <c r="D13" s="14">
        <v>34</v>
      </c>
      <c r="E13" s="14" t="s">
        <v>37</v>
      </c>
      <c r="F13" s="14" t="s">
        <v>19</v>
      </c>
      <c r="G13" s="14">
        <v>4</v>
      </c>
      <c r="H13" s="14">
        <v>5</v>
      </c>
      <c r="I13" s="14">
        <v>5</v>
      </c>
      <c r="J13" s="14">
        <v>5</v>
      </c>
      <c r="K13" s="14">
        <v>5</v>
      </c>
      <c r="L13" s="14" t="s">
        <v>20</v>
      </c>
      <c r="M13" s="14" t="s">
        <v>43</v>
      </c>
      <c r="N13" s="14" t="s">
        <v>212</v>
      </c>
      <c r="O13" s="14" t="s">
        <v>40</v>
      </c>
      <c r="P13" s="14" t="s">
        <v>28</v>
      </c>
      <c r="Q13" s="14" t="s">
        <v>41</v>
      </c>
    </row>
    <row r="14" spans="1:22" ht="22.5" customHeight="1" x14ac:dyDescent="0.35">
      <c r="A14" s="14" t="s">
        <v>320</v>
      </c>
      <c r="B14" s="20">
        <v>5</v>
      </c>
      <c r="C14" s="14" t="s">
        <v>213</v>
      </c>
      <c r="D14" s="14">
        <v>31</v>
      </c>
      <c r="E14" s="14" t="s">
        <v>37</v>
      </c>
      <c r="F14" s="14" t="s">
        <v>38</v>
      </c>
      <c r="G14" s="14">
        <v>5</v>
      </c>
      <c r="H14" s="14">
        <v>5</v>
      </c>
      <c r="I14" s="14">
        <v>5</v>
      </c>
      <c r="J14" s="14">
        <v>5</v>
      </c>
      <c r="K14" s="14">
        <v>5</v>
      </c>
      <c r="L14" s="14" t="s">
        <v>20</v>
      </c>
      <c r="M14" s="14" t="s">
        <v>43</v>
      </c>
      <c r="N14" s="14" t="s">
        <v>71</v>
      </c>
      <c r="O14" s="14" t="s">
        <v>40</v>
      </c>
      <c r="P14" s="14" t="s">
        <v>24</v>
      </c>
      <c r="Q14" s="14" t="s">
        <v>25</v>
      </c>
    </row>
    <row r="15" spans="1:22" ht="22.5" customHeight="1" x14ac:dyDescent="0.35">
      <c r="A15" s="14" t="s">
        <v>320</v>
      </c>
      <c r="B15" s="20">
        <v>5</v>
      </c>
      <c r="C15" s="14" t="s">
        <v>214</v>
      </c>
      <c r="D15" s="14">
        <v>31</v>
      </c>
      <c r="E15" s="14" t="s">
        <v>37</v>
      </c>
      <c r="F15" s="14" t="s">
        <v>38</v>
      </c>
      <c r="G15" s="14">
        <v>5</v>
      </c>
      <c r="H15" s="14">
        <v>5</v>
      </c>
      <c r="I15" s="14">
        <v>4</v>
      </c>
      <c r="J15" s="14">
        <v>4</v>
      </c>
      <c r="K15" s="14">
        <v>5</v>
      </c>
      <c r="L15" s="14" t="s">
        <v>20</v>
      </c>
      <c r="M15" s="14" t="s">
        <v>43</v>
      </c>
      <c r="N15" s="14" t="s">
        <v>77</v>
      </c>
      <c r="O15" s="14" t="s">
        <v>40</v>
      </c>
      <c r="P15" s="14" t="s">
        <v>24</v>
      </c>
      <c r="Q15" s="14" t="s">
        <v>41</v>
      </c>
    </row>
    <row r="16" spans="1:22" ht="22.5" customHeight="1" x14ac:dyDescent="0.35">
      <c r="A16" s="14" t="s">
        <v>320</v>
      </c>
      <c r="B16" s="20">
        <v>4</v>
      </c>
      <c r="C16" s="14" t="s">
        <v>215</v>
      </c>
      <c r="D16" s="14">
        <v>31</v>
      </c>
      <c r="E16" s="14" t="s">
        <v>37</v>
      </c>
      <c r="F16" s="14" t="s">
        <v>38</v>
      </c>
      <c r="G16" s="14">
        <v>5</v>
      </c>
      <c r="H16" s="14">
        <v>4</v>
      </c>
      <c r="I16" s="14">
        <v>4</v>
      </c>
      <c r="J16" s="14">
        <v>4</v>
      </c>
      <c r="K16" s="14">
        <v>5</v>
      </c>
      <c r="L16" s="14" t="s">
        <v>51</v>
      </c>
      <c r="M16" s="14" t="s">
        <v>43</v>
      </c>
      <c r="N16" s="14" t="s">
        <v>67</v>
      </c>
      <c r="O16" s="14" t="s">
        <v>53</v>
      </c>
      <c r="P16" s="14" t="s">
        <v>24</v>
      </c>
      <c r="Q16" s="14" t="s">
        <v>25</v>
      </c>
    </row>
    <row r="17" spans="1:17" ht="22.5" customHeight="1" x14ac:dyDescent="0.35">
      <c r="A17" s="14" t="s">
        <v>320</v>
      </c>
      <c r="B17" s="20">
        <v>5</v>
      </c>
      <c r="C17" s="14" t="s">
        <v>216</v>
      </c>
      <c r="D17" s="14">
        <v>40</v>
      </c>
      <c r="E17" s="14" t="s">
        <v>18</v>
      </c>
      <c r="F17" s="14" t="s">
        <v>19</v>
      </c>
      <c r="G17" s="14">
        <v>5</v>
      </c>
      <c r="H17" s="14">
        <v>4</v>
      </c>
      <c r="I17" s="14">
        <v>5</v>
      </c>
      <c r="J17" s="14">
        <v>5</v>
      </c>
      <c r="K17" s="14">
        <v>5</v>
      </c>
      <c r="L17" s="14" t="s">
        <v>20</v>
      </c>
      <c r="M17" s="14" t="s">
        <v>43</v>
      </c>
      <c r="N17" s="14" t="s">
        <v>71</v>
      </c>
      <c r="O17" s="14" t="s">
        <v>33</v>
      </c>
      <c r="P17" s="14" t="s">
        <v>24</v>
      </c>
      <c r="Q17" s="14" t="s">
        <v>25</v>
      </c>
    </row>
    <row r="18" spans="1:17" ht="22.5" customHeight="1" x14ac:dyDescent="0.35">
      <c r="A18" s="14" t="s">
        <v>320</v>
      </c>
      <c r="B18" s="20">
        <v>4</v>
      </c>
      <c r="C18" s="14" t="s">
        <v>217</v>
      </c>
      <c r="D18" s="14">
        <v>43</v>
      </c>
      <c r="E18" s="14" t="s">
        <v>18</v>
      </c>
      <c r="F18" s="14" t="s">
        <v>38</v>
      </c>
      <c r="G18" s="14">
        <v>5</v>
      </c>
      <c r="H18" s="14">
        <v>4</v>
      </c>
      <c r="I18" s="14">
        <v>5</v>
      </c>
      <c r="J18" s="14">
        <v>4</v>
      </c>
      <c r="K18" s="14">
        <v>5</v>
      </c>
      <c r="L18" s="14" t="s">
        <v>51</v>
      </c>
      <c r="M18" s="14" t="s">
        <v>43</v>
      </c>
      <c r="N18" s="14" t="s">
        <v>218</v>
      </c>
      <c r="O18" s="14" t="s">
        <v>53</v>
      </c>
      <c r="P18" s="14" t="s">
        <v>24</v>
      </c>
      <c r="Q18" s="14" t="s">
        <v>25</v>
      </c>
    </row>
    <row r="19" spans="1:17" ht="22.5" customHeight="1" x14ac:dyDescent="0.35">
      <c r="A19" s="14" t="s">
        <v>320</v>
      </c>
      <c r="B19" s="20">
        <v>5</v>
      </c>
      <c r="C19" s="14" t="s">
        <v>219</v>
      </c>
      <c r="D19" s="14">
        <v>31</v>
      </c>
      <c r="E19" s="14" t="s">
        <v>18</v>
      </c>
      <c r="F19" s="14" t="s">
        <v>38</v>
      </c>
      <c r="G19" s="14">
        <v>5</v>
      </c>
      <c r="H19" s="14">
        <v>4</v>
      </c>
      <c r="I19" s="14">
        <v>5</v>
      </c>
      <c r="J19" s="14">
        <v>5</v>
      </c>
      <c r="K19" s="14">
        <v>4</v>
      </c>
      <c r="L19" s="14" t="s">
        <v>51</v>
      </c>
      <c r="M19" s="14" t="s">
        <v>43</v>
      </c>
      <c r="N19" s="14" t="s">
        <v>67</v>
      </c>
      <c r="O19" s="14" t="s">
        <v>53</v>
      </c>
      <c r="P19" s="14" t="s">
        <v>24</v>
      </c>
      <c r="Q19" s="14" t="s">
        <v>41</v>
      </c>
    </row>
    <row r="20" spans="1:17" ht="22.5" customHeight="1" x14ac:dyDescent="0.35">
      <c r="A20" s="14" t="s">
        <v>320</v>
      </c>
      <c r="B20" s="20">
        <v>4</v>
      </c>
      <c r="C20" s="14" t="s">
        <v>220</v>
      </c>
      <c r="D20" s="14">
        <v>37</v>
      </c>
      <c r="E20" s="14" t="s">
        <v>37</v>
      </c>
      <c r="F20" s="14" t="s">
        <v>38</v>
      </c>
      <c r="G20" s="14">
        <v>5</v>
      </c>
      <c r="H20" s="14">
        <v>5</v>
      </c>
      <c r="I20" s="14">
        <v>5</v>
      </c>
      <c r="J20" s="14">
        <v>5</v>
      </c>
      <c r="K20" s="14">
        <v>4</v>
      </c>
      <c r="L20" s="14" t="s">
        <v>51</v>
      </c>
      <c r="M20" s="14" t="s">
        <v>43</v>
      </c>
      <c r="N20" s="14" t="s">
        <v>71</v>
      </c>
      <c r="O20" s="14" t="s">
        <v>53</v>
      </c>
      <c r="P20" s="14" t="s">
        <v>28</v>
      </c>
      <c r="Q20" s="14" t="s">
        <v>41</v>
      </c>
    </row>
    <row r="21" spans="1:17" ht="22.5" customHeight="1" x14ac:dyDescent="0.35">
      <c r="A21" s="14" t="s">
        <v>320</v>
      </c>
      <c r="B21" s="20">
        <v>5</v>
      </c>
      <c r="C21" s="14" t="s">
        <v>221</v>
      </c>
      <c r="D21" s="14">
        <v>33</v>
      </c>
      <c r="E21" s="14" t="s">
        <v>18</v>
      </c>
      <c r="F21" s="14" t="s">
        <v>38</v>
      </c>
      <c r="G21" s="14">
        <v>4</v>
      </c>
      <c r="H21" s="14">
        <v>5</v>
      </c>
      <c r="I21" s="14">
        <v>5</v>
      </c>
      <c r="J21" s="14">
        <v>4</v>
      </c>
      <c r="K21" s="14">
        <v>5</v>
      </c>
      <c r="L21" s="14" t="s">
        <v>51</v>
      </c>
      <c r="M21" s="14" t="s">
        <v>43</v>
      </c>
      <c r="N21" s="14" t="s">
        <v>77</v>
      </c>
      <c r="O21" s="14" t="s">
        <v>53</v>
      </c>
      <c r="P21" s="14" t="s">
        <v>24</v>
      </c>
      <c r="Q21" s="14" t="s">
        <v>41</v>
      </c>
    </row>
    <row r="22" spans="1:17" ht="22.5" customHeight="1" x14ac:dyDescent="0.35">
      <c r="A22" s="14" t="s">
        <v>320</v>
      </c>
      <c r="B22" s="20">
        <v>5</v>
      </c>
      <c r="C22" s="14" t="s">
        <v>222</v>
      </c>
      <c r="D22" s="14">
        <v>35</v>
      </c>
      <c r="E22" s="14" t="s">
        <v>37</v>
      </c>
      <c r="F22" s="14" t="s">
        <v>38</v>
      </c>
      <c r="G22" s="14">
        <v>5</v>
      </c>
      <c r="H22" s="14">
        <v>5</v>
      </c>
      <c r="I22" s="14">
        <v>5</v>
      </c>
      <c r="J22" s="14">
        <v>4</v>
      </c>
      <c r="K22" s="14">
        <v>4</v>
      </c>
      <c r="L22" s="14" t="s">
        <v>20</v>
      </c>
      <c r="M22" s="14" t="s">
        <v>43</v>
      </c>
      <c r="N22" s="14" t="s">
        <v>83</v>
      </c>
      <c r="O22" s="14" t="s">
        <v>40</v>
      </c>
      <c r="P22" s="14" t="s">
        <v>24</v>
      </c>
      <c r="Q22" s="14" t="s">
        <v>41</v>
      </c>
    </row>
    <row r="23" spans="1:17" ht="22.5" customHeight="1" x14ac:dyDescent="0.35">
      <c r="A23" s="14" t="s">
        <v>320</v>
      </c>
      <c r="B23" s="20">
        <v>5</v>
      </c>
      <c r="C23" s="14" t="s">
        <v>223</v>
      </c>
      <c r="D23" s="14">
        <v>31</v>
      </c>
      <c r="E23" s="14" t="s">
        <v>37</v>
      </c>
      <c r="F23" s="14" t="s">
        <v>19</v>
      </c>
      <c r="G23" s="14">
        <v>4</v>
      </c>
      <c r="H23" s="14">
        <v>4</v>
      </c>
      <c r="I23" s="14">
        <v>5</v>
      </c>
      <c r="J23" s="14">
        <v>5</v>
      </c>
      <c r="K23" s="14">
        <v>5</v>
      </c>
      <c r="L23" s="14" t="s">
        <v>20</v>
      </c>
      <c r="M23" s="14" t="s">
        <v>43</v>
      </c>
      <c r="N23" s="14" t="s">
        <v>224</v>
      </c>
      <c r="O23" s="14" t="s">
        <v>40</v>
      </c>
      <c r="P23" s="14" t="s">
        <v>28</v>
      </c>
      <c r="Q23" s="14" t="s">
        <v>41</v>
      </c>
    </row>
    <row r="24" spans="1:17" ht="22.5" customHeight="1" x14ac:dyDescent="0.35">
      <c r="A24" s="14" t="s">
        <v>320</v>
      </c>
      <c r="B24" s="20">
        <v>5</v>
      </c>
      <c r="C24" s="14" t="s">
        <v>225</v>
      </c>
      <c r="D24" s="14">
        <v>36</v>
      </c>
      <c r="E24" s="14" t="s">
        <v>18</v>
      </c>
      <c r="F24" s="14" t="s">
        <v>38</v>
      </c>
      <c r="G24" s="14">
        <v>5</v>
      </c>
      <c r="H24" s="14">
        <v>5</v>
      </c>
      <c r="I24" s="14">
        <v>5</v>
      </c>
      <c r="J24" s="14">
        <v>4</v>
      </c>
      <c r="K24" s="14">
        <v>4</v>
      </c>
      <c r="L24" s="14" t="s">
        <v>20</v>
      </c>
      <c r="M24" s="14" t="s">
        <v>43</v>
      </c>
      <c r="N24" s="14" t="s">
        <v>226</v>
      </c>
      <c r="O24" s="14" t="s">
        <v>53</v>
      </c>
      <c r="P24" s="14" t="s">
        <v>28</v>
      </c>
      <c r="Q24" s="14" t="s">
        <v>41</v>
      </c>
    </row>
    <row r="25" spans="1:17" ht="22.5" customHeight="1" x14ac:dyDescent="0.35">
      <c r="A25" s="14" t="s">
        <v>320</v>
      </c>
      <c r="B25" s="20">
        <v>5</v>
      </c>
      <c r="C25" s="14" t="s">
        <v>227</v>
      </c>
      <c r="D25" s="14">
        <v>33</v>
      </c>
      <c r="E25" s="14" t="s">
        <v>37</v>
      </c>
      <c r="F25" s="14" t="s">
        <v>38</v>
      </c>
      <c r="G25" s="14">
        <v>5</v>
      </c>
      <c r="H25" s="14">
        <v>5</v>
      </c>
      <c r="I25" s="14">
        <v>5</v>
      </c>
      <c r="J25" s="14">
        <v>4</v>
      </c>
      <c r="K25" s="14">
        <v>5</v>
      </c>
      <c r="L25" s="14" t="s">
        <v>51</v>
      </c>
      <c r="M25" s="14" t="s">
        <v>43</v>
      </c>
      <c r="N25" s="14" t="s">
        <v>83</v>
      </c>
      <c r="O25" s="14" t="s">
        <v>53</v>
      </c>
      <c r="P25" s="14" t="s">
        <v>24</v>
      </c>
      <c r="Q25" s="14" t="s">
        <v>41</v>
      </c>
    </row>
    <row r="26" spans="1:17" ht="22.5" customHeight="1" x14ac:dyDescent="0.35">
      <c r="A26" s="14" t="s">
        <v>320</v>
      </c>
      <c r="B26" s="20">
        <v>4</v>
      </c>
      <c r="C26" s="14" t="s">
        <v>228</v>
      </c>
      <c r="D26" s="14">
        <v>48</v>
      </c>
      <c r="E26" s="14" t="s">
        <v>37</v>
      </c>
      <c r="F26" s="14" t="s">
        <v>38</v>
      </c>
      <c r="G26" s="14">
        <v>5</v>
      </c>
      <c r="H26" s="14">
        <v>5</v>
      </c>
      <c r="I26" s="14">
        <v>5</v>
      </c>
      <c r="J26" s="14">
        <v>4</v>
      </c>
      <c r="K26" s="14">
        <v>5</v>
      </c>
      <c r="L26" s="14" t="s">
        <v>20</v>
      </c>
      <c r="M26" s="14" t="s">
        <v>21</v>
      </c>
      <c r="N26" s="14" t="s">
        <v>107</v>
      </c>
      <c r="O26" s="14" t="s">
        <v>33</v>
      </c>
      <c r="P26" s="14" t="s">
        <v>24</v>
      </c>
      <c r="Q26" s="14" t="s">
        <v>25</v>
      </c>
    </row>
    <row r="27" spans="1:17" ht="22.5" customHeight="1" x14ac:dyDescent="0.35">
      <c r="A27" s="14" t="s">
        <v>320</v>
      </c>
      <c r="B27" s="20">
        <v>5</v>
      </c>
      <c r="C27" s="14" t="s">
        <v>229</v>
      </c>
      <c r="D27" s="14">
        <v>28</v>
      </c>
      <c r="E27" s="14" t="s">
        <v>37</v>
      </c>
      <c r="F27" s="14" t="s">
        <v>38</v>
      </c>
      <c r="G27" s="14">
        <v>4</v>
      </c>
      <c r="H27" s="14">
        <v>5</v>
      </c>
      <c r="I27" s="14">
        <v>5</v>
      </c>
      <c r="J27" s="14">
        <v>5</v>
      </c>
      <c r="K27" s="14">
        <v>5</v>
      </c>
      <c r="L27" s="14" t="s">
        <v>20</v>
      </c>
      <c r="M27" s="14" t="s">
        <v>21</v>
      </c>
      <c r="N27" s="14" t="s">
        <v>230</v>
      </c>
      <c r="O27" s="14" t="s">
        <v>40</v>
      </c>
      <c r="P27" s="14" t="s">
        <v>24</v>
      </c>
      <c r="Q27" s="14" t="s">
        <v>41</v>
      </c>
    </row>
    <row r="28" spans="1:17" ht="22.5" customHeight="1" x14ac:dyDescent="0.35">
      <c r="A28" s="14" t="s">
        <v>320</v>
      </c>
      <c r="B28" s="20">
        <v>5</v>
      </c>
      <c r="C28" s="14" t="s">
        <v>231</v>
      </c>
      <c r="D28" s="14">
        <v>36</v>
      </c>
      <c r="E28" s="14" t="s">
        <v>18</v>
      </c>
      <c r="F28" s="14" t="s">
        <v>38</v>
      </c>
      <c r="G28" s="14">
        <v>5</v>
      </c>
      <c r="H28" s="14">
        <v>4</v>
      </c>
      <c r="I28" s="14">
        <v>5</v>
      </c>
      <c r="J28" s="14">
        <v>4</v>
      </c>
      <c r="K28" s="14">
        <v>5</v>
      </c>
      <c r="L28" s="14" t="s">
        <v>20</v>
      </c>
      <c r="M28" s="14" t="s">
        <v>21</v>
      </c>
      <c r="N28" s="14" t="s">
        <v>232</v>
      </c>
      <c r="O28" s="14" t="s">
        <v>23</v>
      </c>
      <c r="P28" s="14" t="s">
        <v>24</v>
      </c>
      <c r="Q28" s="14" t="s">
        <v>41</v>
      </c>
    </row>
    <row r="29" spans="1:17" ht="22.5" customHeight="1" x14ac:dyDescent="0.35">
      <c r="A29" s="14" t="s">
        <v>320</v>
      </c>
      <c r="B29" s="20">
        <v>5</v>
      </c>
      <c r="C29" s="14" t="s">
        <v>233</v>
      </c>
      <c r="D29" s="14">
        <v>30</v>
      </c>
      <c r="E29" s="14" t="s">
        <v>37</v>
      </c>
      <c r="F29" s="14" t="s">
        <v>38</v>
      </c>
      <c r="G29" s="14">
        <v>5</v>
      </c>
      <c r="H29" s="14">
        <v>4</v>
      </c>
      <c r="I29" s="14">
        <v>4</v>
      </c>
      <c r="J29" s="14">
        <v>5</v>
      </c>
      <c r="K29" s="14">
        <v>5</v>
      </c>
      <c r="L29" s="14" t="s">
        <v>20</v>
      </c>
      <c r="M29" s="14" t="s">
        <v>43</v>
      </c>
      <c r="N29" s="14" t="s">
        <v>67</v>
      </c>
      <c r="O29" s="14" t="s">
        <v>40</v>
      </c>
      <c r="P29" s="14" t="s">
        <v>24</v>
      </c>
      <c r="Q29" s="14" t="s">
        <v>41</v>
      </c>
    </row>
    <row r="30" spans="1:17" ht="22.5" customHeight="1" x14ac:dyDescent="0.35">
      <c r="A30" s="14" t="s">
        <v>320</v>
      </c>
      <c r="B30" s="20">
        <v>5</v>
      </c>
      <c r="C30" s="14" t="s">
        <v>234</v>
      </c>
      <c r="D30" s="14">
        <v>44</v>
      </c>
      <c r="E30" s="14" t="s">
        <v>18</v>
      </c>
      <c r="F30" s="14" t="s">
        <v>19</v>
      </c>
      <c r="G30" s="14">
        <v>5</v>
      </c>
      <c r="H30" s="14">
        <v>5</v>
      </c>
      <c r="I30" s="14">
        <v>5</v>
      </c>
      <c r="J30" s="14">
        <v>4</v>
      </c>
      <c r="K30" s="14">
        <v>5</v>
      </c>
      <c r="L30" s="14" t="s">
        <v>20</v>
      </c>
      <c r="M30" s="14" t="s">
        <v>21</v>
      </c>
      <c r="N30" s="14" t="s">
        <v>235</v>
      </c>
      <c r="O30" s="14" t="s">
        <v>33</v>
      </c>
      <c r="P30" s="14" t="s">
        <v>24</v>
      </c>
      <c r="Q30" s="14" t="s">
        <v>25</v>
      </c>
    </row>
    <row r="31" spans="1:17" ht="22.5" customHeight="1" x14ac:dyDescent="0.35">
      <c r="A31" s="14" t="s">
        <v>320</v>
      </c>
      <c r="B31" s="20">
        <v>5</v>
      </c>
      <c r="C31" s="14" t="s">
        <v>236</v>
      </c>
      <c r="D31" s="14">
        <v>30</v>
      </c>
      <c r="E31" s="14" t="s">
        <v>18</v>
      </c>
      <c r="F31" s="14" t="s">
        <v>38</v>
      </c>
      <c r="G31" s="14">
        <v>5</v>
      </c>
      <c r="H31" s="14">
        <v>4</v>
      </c>
      <c r="I31" s="14">
        <v>5</v>
      </c>
      <c r="J31" s="14">
        <v>4</v>
      </c>
      <c r="K31" s="14">
        <v>5</v>
      </c>
      <c r="L31" s="14" t="s">
        <v>20</v>
      </c>
      <c r="M31" s="14" t="s">
        <v>43</v>
      </c>
      <c r="N31" s="14" t="s">
        <v>87</v>
      </c>
      <c r="O31" s="14" t="s">
        <v>40</v>
      </c>
      <c r="P31" s="14" t="s">
        <v>28</v>
      </c>
      <c r="Q31" s="14" t="s">
        <v>41</v>
      </c>
    </row>
    <row r="32" spans="1:17" ht="22.5" customHeight="1" x14ac:dyDescent="0.35">
      <c r="A32" s="14" t="s">
        <v>320</v>
      </c>
      <c r="B32" s="20">
        <v>5</v>
      </c>
      <c r="C32" s="14" t="s">
        <v>237</v>
      </c>
      <c r="D32" s="14">
        <v>32</v>
      </c>
      <c r="E32" s="14" t="s">
        <v>18</v>
      </c>
      <c r="F32" s="14" t="s">
        <v>19</v>
      </c>
      <c r="G32" s="14">
        <v>5</v>
      </c>
      <c r="H32" s="14">
        <v>5</v>
      </c>
      <c r="I32" s="14">
        <v>5</v>
      </c>
      <c r="J32" s="14">
        <v>4</v>
      </c>
      <c r="K32" s="14">
        <v>5</v>
      </c>
      <c r="L32" s="14" t="s">
        <v>20</v>
      </c>
      <c r="M32" s="14" t="s">
        <v>21</v>
      </c>
      <c r="N32" s="14" t="s">
        <v>238</v>
      </c>
      <c r="O32" s="14" t="s">
        <v>40</v>
      </c>
      <c r="P32" s="14" t="s">
        <v>24</v>
      </c>
      <c r="Q32" s="14" t="s">
        <v>41</v>
      </c>
    </row>
    <row r="33" spans="1:17" ht="22.5" customHeight="1" x14ac:dyDescent="0.35">
      <c r="A33" s="14" t="s">
        <v>320</v>
      </c>
      <c r="B33" s="20">
        <v>5</v>
      </c>
      <c r="C33" s="14" t="s">
        <v>239</v>
      </c>
      <c r="D33" s="14">
        <v>58</v>
      </c>
      <c r="E33" s="14" t="s">
        <v>18</v>
      </c>
      <c r="F33" s="14" t="s">
        <v>19</v>
      </c>
      <c r="G33" s="14">
        <v>5</v>
      </c>
      <c r="H33" s="14">
        <v>5</v>
      </c>
      <c r="I33" s="14">
        <v>5</v>
      </c>
      <c r="J33" s="14">
        <v>5</v>
      </c>
      <c r="K33" s="14">
        <v>5</v>
      </c>
      <c r="L33" s="14" t="s">
        <v>20</v>
      </c>
      <c r="M33" s="14" t="s">
        <v>43</v>
      </c>
      <c r="N33" s="14" t="s">
        <v>83</v>
      </c>
      <c r="O33" s="14" t="s">
        <v>33</v>
      </c>
      <c r="P33" s="14" t="s">
        <v>28</v>
      </c>
      <c r="Q33" s="14" t="s">
        <v>25</v>
      </c>
    </row>
    <row r="34" spans="1:17" ht="22.5" customHeight="1" x14ac:dyDescent="0.35">
      <c r="A34" s="14" t="s">
        <v>320</v>
      </c>
      <c r="B34" s="20">
        <v>4</v>
      </c>
      <c r="C34" s="14" t="s">
        <v>240</v>
      </c>
      <c r="D34" s="14">
        <v>50</v>
      </c>
      <c r="E34" s="14" t="s">
        <v>18</v>
      </c>
      <c r="F34" s="14" t="s">
        <v>38</v>
      </c>
      <c r="G34" s="14">
        <v>5</v>
      </c>
      <c r="H34" s="14">
        <v>5</v>
      </c>
      <c r="I34" s="14">
        <v>4</v>
      </c>
      <c r="J34" s="14">
        <v>5</v>
      </c>
      <c r="K34" s="14">
        <v>5</v>
      </c>
      <c r="L34" s="14" t="s">
        <v>20</v>
      </c>
      <c r="M34" s="14" t="s">
        <v>21</v>
      </c>
      <c r="N34" s="14" t="s">
        <v>241</v>
      </c>
      <c r="O34" s="14" t="s">
        <v>33</v>
      </c>
      <c r="P34" s="14" t="s">
        <v>24</v>
      </c>
      <c r="Q34" s="14" t="s">
        <v>25</v>
      </c>
    </row>
    <row r="35" spans="1:17" ht="22.5" customHeight="1" x14ac:dyDescent="0.35">
      <c r="A35" s="14" t="s">
        <v>320</v>
      </c>
      <c r="B35" s="20">
        <v>4</v>
      </c>
      <c r="C35" s="14" t="s">
        <v>242</v>
      </c>
      <c r="D35" s="14">
        <v>48</v>
      </c>
      <c r="E35" s="14" t="s">
        <v>18</v>
      </c>
      <c r="F35" s="14" t="s">
        <v>38</v>
      </c>
      <c r="G35" s="14">
        <v>5</v>
      </c>
      <c r="H35" s="14">
        <v>5</v>
      </c>
      <c r="I35" s="14">
        <v>4</v>
      </c>
      <c r="J35" s="14">
        <v>4</v>
      </c>
      <c r="K35" s="14">
        <v>4</v>
      </c>
      <c r="L35" s="14" t="s">
        <v>20</v>
      </c>
      <c r="M35" s="14" t="s">
        <v>21</v>
      </c>
      <c r="N35" s="14" t="s">
        <v>180</v>
      </c>
      <c r="O35" s="14" t="s">
        <v>33</v>
      </c>
      <c r="P35" s="14" t="s">
        <v>28</v>
      </c>
      <c r="Q35" s="14" t="s">
        <v>25</v>
      </c>
    </row>
    <row r="36" spans="1:17" ht="22.5" customHeight="1" x14ac:dyDescent="0.35">
      <c r="A36" s="14" t="s">
        <v>320</v>
      </c>
      <c r="B36" s="20">
        <v>5</v>
      </c>
      <c r="C36" s="14" t="s">
        <v>243</v>
      </c>
      <c r="D36" s="14">
        <v>45</v>
      </c>
      <c r="E36" s="14" t="s">
        <v>18</v>
      </c>
      <c r="F36" s="14" t="s">
        <v>19</v>
      </c>
      <c r="G36" s="14">
        <v>4</v>
      </c>
      <c r="H36" s="14">
        <v>5</v>
      </c>
      <c r="I36" s="14">
        <v>5</v>
      </c>
      <c r="J36" s="14">
        <v>5</v>
      </c>
      <c r="K36" s="14">
        <v>5</v>
      </c>
      <c r="L36" s="14" t="s">
        <v>20</v>
      </c>
      <c r="M36" s="14" t="s">
        <v>43</v>
      </c>
      <c r="N36" s="14" t="s">
        <v>67</v>
      </c>
      <c r="O36" s="14" t="s">
        <v>33</v>
      </c>
      <c r="P36" s="14" t="s">
        <v>24</v>
      </c>
      <c r="Q36" s="14" t="s">
        <v>25</v>
      </c>
    </row>
    <row r="37" spans="1:17" ht="22.5" customHeight="1" x14ac:dyDescent="0.35">
      <c r="A37" s="14" t="s">
        <v>320</v>
      </c>
      <c r="B37" s="20">
        <v>5</v>
      </c>
      <c r="C37" s="14" t="s">
        <v>244</v>
      </c>
      <c r="D37" s="14">
        <v>40</v>
      </c>
      <c r="E37" s="14" t="s">
        <v>18</v>
      </c>
      <c r="F37" s="14" t="s">
        <v>198</v>
      </c>
      <c r="G37" s="14">
        <v>4</v>
      </c>
      <c r="H37" s="14">
        <v>5</v>
      </c>
      <c r="I37" s="14">
        <v>5</v>
      </c>
      <c r="J37" s="14">
        <v>5</v>
      </c>
      <c r="K37" s="14">
        <v>5</v>
      </c>
      <c r="L37" s="14" t="s">
        <v>51</v>
      </c>
      <c r="M37" s="14" t="s">
        <v>43</v>
      </c>
      <c r="N37" s="14" t="s">
        <v>83</v>
      </c>
      <c r="O37" s="14" t="s">
        <v>53</v>
      </c>
      <c r="P37" s="14" t="s">
        <v>124</v>
      </c>
      <c r="Q37" s="14" t="s">
        <v>125</v>
      </c>
    </row>
    <row r="38" spans="1:17" ht="22.5" customHeight="1" x14ac:dyDescent="0.35">
      <c r="A38" s="14" t="s">
        <v>320</v>
      </c>
      <c r="B38" s="20">
        <v>4</v>
      </c>
      <c r="C38" s="14" t="s">
        <v>245</v>
      </c>
      <c r="D38" s="14">
        <v>32</v>
      </c>
      <c r="E38" s="14" t="s">
        <v>18</v>
      </c>
      <c r="F38" s="14" t="s">
        <v>38</v>
      </c>
      <c r="G38" s="14">
        <v>5</v>
      </c>
      <c r="H38" s="14">
        <v>5</v>
      </c>
      <c r="I38" s="14">
        <v>5</v>
      </c>
      <c r="J38" s="14">
        <v>4</v>
      </c>
      <c r="K38" s="14">
        <v>5</v>
      </c>
      <c r="L38" s="14" t="s">
        <v>20</v>
      </c>
      <c r="M38" s="14" t="s">
        <v>21</v>
      </c>
      <c r="N38" s="14" t="s">
        <v>113</v>
      </c>
      <c r="O38" s="14" t="s">
        <v>40</v>
      </c>
      <c r="P38" s="14" t="s">
        <v>24</v>
      </c>
      <c r="Q38" s="14" t="s">
        <v>41</v>
      </c>
    </row>
    <row r="39" spans="1:17" ht="22.5" customHeight="1" x14ac:dyDescent="0.35">
      <c r="A39" s="14" t="s">
        <v>320</v>
      </c>
      <c r="B39" s="20">
        <v>4</v>
      </c>
      <c r="C39" s="14" t="s">
        <v>246</v>
      </c>
      <c r="D39" s="14">
        <v>45</v>
      </c>
      <c r="E39" s="14" t="s">
        <v>18</v>
      </c>
      <c r="F39" s="14" t="s">
        <v>38</v>
      </c>
      <c r="G39" s="14">
        <v>4</v>
      </c>
      <c r="H39" s="14">
        <v>5</v>
      </c>
      <c r="I39" s="14">
        <v>4</v>
      </c>
      <c r="J39" s="14">
        <v>4</v>
      </c>
      <c r="K39" s="14">
        <v>5</v>
      </c>
      <c r="L39" s="14" t="s">
        <v>20</v>
      </c>
      <c r="M39" s="14" t="s">
        <v>21</v>
      </c>
      <c r="N39" s="14" t="s">
        <v>247</v>
      </c>
      <c r="O39" s="14" t="s">
        <v>23</v>
      </c>
      <c r="P39" s="14" t="s">
        <v>28</v>
      </c>
      <c r="Q39" s="14" t="s">
        <v>25</v>
      </c>
    </row>
    <row r="40" spans="1:17" ht="22.5" customHeight="1" x14ac:dyDescent="0.35">
      <c r="A40" s="14" t="s">
        <v>320</v>
      </c>
      <c r="B40" s="20">
        <v>5</v>
      </c>
      <c r="C40" s="14" t="s">
        <v>248</v>
      </c>
      <c r="D40" s="14">
        <v>38</v>
      </c>
      <c r="E40" s="14" t="s">
        <v>37</v>
      </c>
      <c r="F40" s="14" t="s">
        <v>38</v>
      </c>
      <c r="G40" s="14">
        <v>5</v>
      </c>
      <c r="H40" s="14">
        <v>4</v>
      </c>
      <c r="I40" s="14">
        <v>5</v>
      </c>
      <c r="J40" s="14">
        <v>4</v>
      </c>
      <c r="K40" s="14">
        <v>5</v>
      </c>
      <c r="L40" s="14" t="s">
        <v>20</v>
      </c>
      <c r="M40" s="14" t="s">
        <v>21</v>
      </c>
      <c r="N40" s="14" t="s">
        <v>249</v>
      </c>
      <c r="O40" s="14" t="s">
        <v>23</v>
      </c>
      <c r="P40" s="14" t="s">
        <v>24</v>
      </c>
      <c r="Q40" s="14" t="s">
        <v>41</v>
      </c>
    </row>
    <row r="41" spans="1:17" ht="22.5" customHeight="1" x14ac:dyDescent="0.35">
      <c r="A41" s="14" t="s">
        <v>320</v>
      </c>
      <c r="B41" s="20">
        <v>5</v>
      </c>
      <c r="C41" s="14" t="s">
        <v>250</v>
      </c>
      <c r="D41" s="14">
        <v>27</v>
      </c>
      <c r="E41" s="14" t="s">
        <v>37</v>
      </c>
      <c r="F41" s="14" t="s">
        <v>38</v>
      </c>
      <c r="G41" s="14">
        <v>4</v>
      </c>
      <c r="H41" s="14">
        <v>4</v>
      </c>
      <c r="I41" s="14">
        <v>4</v>
      </c>
      <c r="J41" s="14">
        <v>5</v>
      </c>
      <c r="K41" s="14">
        <v>4</v>
      </c>
      <c r="L41" s="14" t="s">
        <v>51</v>
      </c>
      <c r="M41" s="14" t="s">
        <v>43</v>
      </c>
      <c r="N41" s="14" t="s">
        <v>67</v>
      </c>
      <c r="O41" s="14" t="s">
        <v>53</v>
      </c>
      <c r="P41" s="14" t="s">
        <v>24</v>
      </c>
      <c r="Q41" s="14" t="s">
        <v>41</v>
      </c>
    </row>
    <row r="42" spans="1:17" ht="22.5" customHeight="1" x14ac:dyDescent="0.35">
      <c r="A42" s="14" t="s">
        <v>320</v>
      </c>
      <c r="B42" s="20">
        <v>3</v>
      </c>
      <c r="C42" s="14" t="s">
        <v>243</v>
      </c>
      <c r="D42" s="14">
        <v>45</v>
      </c>
      <c r="E42" s="14" t="s">
        <v>18</v>
      </c>
      <c r="F42" s="14" t="s">
        <v>19</v>
      </c>
      <c r="G42" s="14">
        <v>4</v>
      </c>
      <c r="H42" s="14">
        <v>5</v>
      </c>
      <c r="I42" s="14">
        <v>4</v>
      </c>
      <c r="J42" s="14">
        <v>4</v>
      </c>
      <c r="K42" s="14">
        <v>5</v>
      </c>
      <c r="L42" s="14" t="s">
        <v>20</v>
      </c>
      <c r="M42" s="14" t="s">
        <v>21</v>
      </c>
      <c r="N42" s="14" t="s">
        <v>251</v>
      </c>
      <c r="O42" s="14" t="s">
        <v>33</v>
      </c>
      <c r="P42" s="14" t="s">
        <v>24</v>
      </c>
      <c r="Q42" s="14" t="s">
        <v>25</v>
      </c>
    </row>
    <row r="43" spans="1:17" ht="12.75" x14ac:dyDescent="0.35">
      <c r="B43" s="21"/>
      <c r="J43" s="11"/>
    </row>
    <row r="44" spans="1:17" ht="12.75" x14ac:dyDescent="0.35">
      <c r="B44" s="23" t="s">
        <v>321</v>
      </c>
      <c r="G44" s="24">
        <v>44</v>
      </c>
      <c r="J44" s="11"/>
    </row>
    <row r="45" spans="1:17" ht="12.75" x14ac:dyDescent="0.35">
      <c r="B45" s="23" t="s">
        <v>322</v>
      </c>
      <c r="G45" s="24">
        <v>3</v>
      </c>
      <c r="J45" s="11"/>
    </row>
    <row r="46" spans="1:17" ht="12.75" x14ac:dyDescent="0.35">
      <c r="B46" s="23" t="s">
        <v>323</v>
      </c>
      <c r="G46" s="24">
        <v>41</v>
      </c>
      <c r="J46" s="11"/>
    </row>
    <row r="47" spans="1:17" ht="12.75" x14ac:dyDescent="0.35">
      <c r="B47" s="21"/>
      <c r="J47" s="11"/>
    </row>
    <row r="48" spans="1:17" ht="12.75" x14ac:dyDescent="0.35">
      <c r="B48" s="21"/>
      <c r="J48" s="11"/>
    </row>
    <row r="49" spans="2:10" ht="12.75" x14ac:dyDescent="0.35">
      <c r="B49" s="21" t="s">
        <v>330</v>
      </c>
      <c r="J49" s="11"/>
    </row>
    <row r="50" spans="2:10" ht="12.75" x14ac:dyDescent="0.35">
      <c r="B50" s="25" t="s">
        <v>331</v>
      </c>
      <c r="J50" s="11"/>
    </row>
    <row r="51" spans="2:10" ht="12.75" x14ac:dyDescent="0.35">
      <c r="B51" s="25" t="s">
        <v>332</v>
      </c>
      <c r="J51" s="11"/>
    </row>
    <row r="52" spans="2:10" ht="12.75" x14ac:dyDescent="0.35">
      <c r="B52" s="21"/>
      <c r="J52" s="11"/>
    </row>
    <row r="53" spans="2:10" ht="12.75" x14ac:dyDescent="0.35">
      <c r="B53" s="21"/>
      <c r="J53" s="11"/>
    </row>
    <row r="54" spans="2:10" ht="12.75" x14ac:dyDescent="0.35">
      <c r="B54" s="21"/>
      <c r="J54" s="11"/>
    </row>
    <row r="55" spans="2:10" ht="12.75" x14ac:dyDescent="0.35">
      <c r="B55" s="21"/>
      <c r="J55" s="11"/>
    </row>
    <row r="56" spans="2:10" ht="12.75" x14ac:dyDescent="0.35">
      <c r="B56" s="21"/>
      <c r="J56" s="11"/>
    </row>
    <row r="57" spans="2:10" ht="12.75" x14ac:dyDescent="0.35">
      <c r="B57" s="21"/>
      <c r="J57" s="11"/>
    </row>
    <row r="58" spans="2:10" ht="12.75" x14ac:dyDescent="0.35">
      <c r="B58" s="21"/>
      <c r="J58" s="11"/>
    </row>
    <row r="59" spans="2:10" ht="12.75" x14ac:dyDescent="0.35">
      <c r="B59" s="21"/>
      <c r="J59" s="11"/>
    </row>
    <row r="60" spans="2:10" ht="12.75" x14ac:dyDescent="0.35">
      <c r="B60" s="21"/>
      <c r="J60" s="11"/>
    </row>
    <row r="61" spans="2:10" ht="12.75" x14ac:dyDescent="0.35">
      <c r="B61" s="21"/>
      <c r="J61" s="11"/>
    </row>
    <row r="62" spans="2:10" ht="12.75" x14ac:dyDescent="0.35">
      <c r="B62" s="21"/>
      <c r="J62" s="11"/>
    </row>
    <row r="63" spans="2:10" ht="12.75" x14ac:dyDescent="0.35">
      <c r="B63" s="21"/>
      <c r="J63" s="11"/>
    </row>
    <row r="64" spans="2:10" ht="12.75" x14ac:dyDescent="0.35">
      <c r="B64" s="21"/>
      <c r="J64" s="11"/>
    </row>
    <row r="65" spans="2:10" ht="12.75" x14ac:dyDescent="0.35">
      <c r="B65" s="21"/>
      <c r="J65" s="11"/>
    </row>
    <row r="66" spans="2:10" ht="12.75" x14ac:dyDescent="0.35">
      <c r="B66" s="21"/>
      <c r="J66" s="11"/>
    </row>
    <row r="67" spans="2:10" ht="12.75" x14ac:dyDescent="0.35">
      <c r="B67" s="21"/>
      <c r="J67" s="11"/>
    </row>
    <row r="68" spans="2:10" ht="12.75" x14ac:dyDescent="0.35">
      <c r="B68" s="21"/>
      <c r="J68" s="11"/>
    </row>
    <row r="69" spans="2:10" ht="12.75" x14ac:dyDescent="0.35">
      <c r="B69" s="21"/>
      <c r="J69" s="11"/>
    </row>
    <row r="70" spans="2:10" ht="12.75" x14ac:dyDescent="0.35">
      <c r="B70" s="21"/>
      <c r="J70" s="11"/>
    </row>
    <row r="71" spans="2:10" ht="12.75" x14ac:dyDescent="0.35">
      <c r="B71" s="21"/>
      <c r="J71" s="11"/>
    </row>
    <row r="72" spans="2:10" ht="12.75" x14ac:dyDescent="0.35">
      <c r="B72" s="21"/>
      <c r="J72" s="11"/>
    </row>
    <row r="73" spans="2:10" ht="12.75" x14ac:dyDescent="0.35">
      <c r="B73" s="21"/>
      <c r="J73" s="11"/>
    </row>
    <row r="74" spans="2:10" ht="12.75" x14ac:dyDescent="0.35">
      <c r="B74" s="21"/>
      <c r="J74" s="11"/>
    </row>
    <row r="75" spans="2:10" ht="12.75" x14ac:dyDescent="0.35">
      <c r="B75" s="21"/>
      <c r="J75" s="11"/>
    </row>
    <row r="76" spans="2:10" ht="12.75" x14ac:dyDescent="0.35">
      <c r="B76" s="21"/>
      <c r="J76" s="11"/>
    </row>
    <row r="77" spans="2:10" ht="12.75" x14ac:dyDescent="0.35">
      <c r="B77" s="21"/>
      <c r="J77" s="11"/>
    </row>
    <row r="78" spans="2:10" ht="12.75" x14ac:dyDescent="0.35">
      <c r="B78" s="21"/>
      <c r="J78" s="11"/>
    </row>
    <row r="79" spans="2:10" ht="12.75" x14ac:dyDescent="0.35">
      <c r="B79" s="21"/>
      <c r="J79" s="11"/>
    </row>
    <row r="80" spans="2:10" ht="12.75" x14ac:dyDescent="0.35">
      <c r="B80" s="21"/>
      <c r="J80" s="11"/>
    </row>
    <row r="81" spans="2:10" ht="12.75" x14ac:dyDescent="0.35">
      <c r="B81" s="21"/>
      <c r="J81" s="11"/>
    </row>
    <row r="82" spans="2:10" ht="12.75" x14ac:dyDescent="0.35">
      <c r="B82" s="21"/>
      <c r="J82" s="11"/>
    </row>
    <row r="83" spans="2:10" ht="12.75" x14ac:dyDescent="0.35">
      <c r="B83" s="21"/>
      <c r="J83" s="11"/>
    </row>
    <row r="84" spans="2:10" ht="12.75" x14ac:dyDescent="0.35">
      <c r="B84" s="21"/>
      <c r="J84" s="11"/>
    </row>
    <row r="85" spans="2:10" ht="12.75" x14ac:dyDescent="0.35">
      <c r="B85" s="21"/>
      <c r="J85" s="11"/>
    </row>
    <row r="86" spans="2:10" ht="12.75" x14ac:dyDescent="0.35">
      <c r="B86" s="21"/>
      <c r="J86" s="11"/>
    </row>
    <row r="87" spans="2:10" ht="12.75" x14ac:dyDescent="0.35">
      <c r="B87" s="21"/>
      <c r="J87" s="11"/>
    </row>
    <row r="88" spans="2:10" ht="12.75" x14ac:dyDescent="0.35">
      <c r="B88" s="21"/>
      <c r="J88" s="11"/>
    </row>
    <row r="89" spans="2:10" ht="12.75" x14ac:dyDescent="0.35">
      <c r="B89" s="21"/>
      <c r="J89" s="11"/>
    </row>
    <row r="90" spans="2:10" ht="12.75" x14ac:dyDescent="0.35">
      <c r="B90" s="21"/>
      <c r="J90" s="11"/>
    </row>
    <row r="91" spans="2:10" ht="12.75" x14ac:dyDescent="0.35">
      <c r="B91" s="21"/>
      <c r="J91" s="11"/>
    </row>
    <row r="92" spans="2:10" ht="12.75" x14ac:dyDescent="0.35">
      <c r="B92" s="21"/>
      <c r="J92" s="11"/>
    </row>
    <row r="93" spans="2:10" ht="12.75" x14ac:dyDescent="0.35">
      <c r="B93" s="21"/>
      <c r="J93" s="11"/>
    </row>
    <row r="94" spans="2:10" ht="12.75" x14ac:dyDescent="0.35">
      <c r="B94" s="21"/>
      <c r="J94" s="11"/>
    </row>
    <row r="95" spans="2:10" ht="12.75" x14ac:dyDescent="0.35">
      <c r="B95" s="21"/>
      <c r="J95" s="11"/>
    </row>
    <row r="96" spans="2:10" ht="12.75" x14ac:dyDescent="0.35">
      <c r="B96" s="21"/>
      <c r="J96" s="11"/>
    </row>
    <row r="97" spans="2:10" ht="12.75" x14ac:dyDescent="0.35">
      <c r="B97" s="21"/>
      <c r="J97" s="11"/>
    </row>
    <row r="98" spans="2:10" ht="12.75" x14ac:dyDescent="0.35">
      <c r="B98" s="21"/>
      <c r="J98" s="11"/>
    </row>
    <row r="99" spans="2:10" ht="12.75" x14ac:dyDescent="0.35">
      <c r="B99" s="21"/>
      <c r="J99" s="11"/>
    </row>
    <row r="100" spans="2:10" ht="12.75" x14ac:dyDescent="0.35">
      <c r="B100" s="21"/>
      <c r="J100" s="11"/>
    </row>
    <row r="101" spans="2:10" ht="12.75" x14ac:dyDescent="0.35">
      <c r="B101" s="21"/>
      <c r="J101" s="11"/>
    </row>
  </sheetData>
  <hyperlinks>
    <hyperlink ref="B50" r:id="rId1" xr:uid="{00000000-0004-0000-0300-000000000000}"/>
    <hyperlink ref="B51" r:id="rId2" xr:uid="{00000000-0004-0000-0300-000001000000}"/>
  </hyperlinks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"/>
  <sheetViews>
    <sheetView workbookViewId="0">
      <pane ySplit="1" topLeftCell="A2" activePane="bottomLeft" state="frozen"/>
      <selection pane="bottomLeft" activeCell="E12" sqref="E12"/>
    </sheetView>
  </sheetViews>
  <sheetFormatPr defaultColWidth="12.6640625" defaultRowHeight="15.75" customHeight="1" x14ac:dyDescent="0.35"/>
  <cols>
    <col min="1" max="1" width="15.6640625" customWidth="1"/>
    <col min="2" max="2" width="13.6640625" customWidth="1"/>
    <col min="3" max="3" width="18.86328125" customWidth="1"/>
    <col min="4" max="4" width="8" customWidth="1"/>
    <col min="5" max="5" width="12.86328125" customWidth="1"/>
    <col min="6" max="6" width="12.796875" customWidth="1"/>
    <col min="7" max="7" width="11" customWidth="1"/>
    <col min="8" max="8" width="13" customWidth="1"/>
    <col min="9" max="9" width="8.33203125" customWidth="1"/>
    <col min="10" max="10" width="11.19921875" customWidth="1"/>
    <col min="11" max="11" width="10.1328125" customWidth="1"/>
    <col min="12" max="12" width="23.796875" customWidth="1"/>
    <col min="13" max="13" width="18.86328125" customWidth="1"/>
    <col min="14" max="14" width="37.6640625" customWidth="1"/>
    <col min="15" max="15" width="18.86328125" customWidth="1"/>
    <col min="16" max="16" width="19.6640625" customWidth="1"/>
    <col min="17" max="17" width="25.796875" customWidth="1"/>
    <col min="18" max="19" width="37.6640625" customWidth="1"/>
    <col min="20" max="20" width="21.796875" customWidth="1"/>
    <col min="21" max="24" width="18.86328125" customWidth="1"/>
  </cols>
  <sheetData>
    <row r="1" spans="1:20" ht="22.5" customHeight="1" x14ac:dyDescent="0.35">
      <c r="A1" s="1" t="s">
        <v>313</v>
      </c>
      <c r="B1" s="18" t="s">
        <v>314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315</v>
      </c>
      <c r="H1" s="1" t="s">
        <v>316</v>
      </c>
      <c r="I1" s="1" t="s">
        <v>317</v>
      </c>
      <c r="J1" s="28" t="s">
        <v>318</v>
      </c>
      <c r="K1" s="1" t="s">
        <v>319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333</v>
      </c>
      <c r="S1" s="1" t="s">
        <v>334</v>
      </c>
      <c r="T1" s="1" t="s">
        <v>335</v>
      </c>
    </row>
    <row r="2" spans="1:20" ht="22.5" customHeight="1" x14ac:dyDescent="0.35">
      <c r="A2" s="14" t="s">
        <v>320</v>
      </c>
      <c r="B2" s="20">
        <v>5</v>
      </c>
      <c r="C2" s="14" t="s">
        <v>252</v>
      </c>
      <c r="D2" s="14">
        <v>46</v>
      </c>
      <c r="E2" s="14" t="s">
        <v>37</v>
      </c>
      <c r="F2" s="14" t="s">
        <v>19</v>
      </c>
      <c r="G2" s="14">
        <v>5</v>
      </c>
      <c r="H2" s="14">
        <v>5</v>
      </c>
      <c r="I2" s="14">
        <v>5</v>
      </c>
      <c r="J2" s="14">
        <v>2</v>
      </c>
      <c r="K2" s="14">
        <v>4</v>
      </c>
      <c r="L2" s="14" t="s">
        <v>20</v>
      </c>
      <c r="M2" s="14" t="s">
        <v>21</v>
      </c>
      <c r="N2" s="14" t="s">
        <v>253</v>
      </c>
      <c r="O2" s="14" t="s">
        <v>23</v>
      </c>
      <c r="P2" s="14" t="s">
        <v>24</v>
      </c>
      <c r="Q2" s="14" t="s">
        <v>25</v>
      </c>
      <c r="R2" s="29" t="s">
        <v>336</v>
      </c>
      <c r="S2" s="14" t="s">
        <v>337</v>
      </c>
      <c r="T2" s="30" t="b">
        <v>1</v>
      </c>
    </row>
    <row r="3" spans="1:20" ht="22.5" customHeight="1" x14ac:dyDescent="0.35">
      <c r="A3" s="14" t="s">
        <v>320</v>
      </c>
      <c r="B3" s="20">
        <v>5</v>
      </c>
      <c r="C3" s="14" t="s">
        <v>254</v>
      </c>
      <c r="D3" s="14">
        <v>37</v>
      </c>
      <c r="E3" s="14" t="s">
        <v>18</v>
      </c>
      <c r="F3" s="14" t="s">
        <v>19</v>
      </c>
      <c r="G3" s="14">
        <v>4</v>
      </c>
      <c r="H3" s="14">
        <v>5</v>
      </c>
      <c r="I3" s="14">
        <v>5</v>
      </c>
      <c r="J3" s="14">
        <v>3</v>
      </c>
      <c r="K3" s="14">
        <v>5</v>
      </c>
      <c r="L3" s="14" t="s">
        <v>20</v>
      </c>
      <c r="M3" s="14" t="s">
        <v>43</v>
      </c>
      <c r="N3" s="14" t="s">
        <v>255</v>
      </c>
      <c r="O3" s="14" t="s">
        <v>40</v>
      </c>
      <c r="P3" s="14" t="s">
        <v>24</v>
      </c>
      <c r="Q3" s="14" t="s">
        <v>25</v>
      </c>
      <c r="R3" s="29" t="s">
        <v>338</v>
      </c>
      <c r="S3" s="14" t="s">
        <v>337</v>
      </c>
      <c r="T3" s="30" t="b">
        <v>1</v>
      </c>
    </row>
    <row r="4" spans="1:20" ht="22.5" customHeight="1" x14ac:dyDescent="0.35">
      <c r="A4" s="14" t="s">
        <v>320</v>
      </c>
      <c r="B4" s="20">
        <v>4</v>
      </c>
      <c r="C4" s="14" t="s">
        <v>256</v>
      </c>
      <c r="D4" s="14">
        <v>54</v>
      </c>
      <c r="E4" s="14" t="s">
        <v>18</v>
      </c>
      <c r="F4" s="14" t="s">
        <v>19</v>
      </c>
      <c r="G4" s="14">
        <v>2</v>
      </c>
      <c r="H4" s="14">
        <v>2</v>
      </c>
      <c r="I4" s="14">
        <v>2</v>
      </c>
      <c r="J4" s="14">
        <v>4</v>
      </c>
      <c r="K4" s="14">
        <v>2</v>
      </c>
      <c r="L4" s="14" t="s">
        <v>20</v>
      </c>
      <c r="M4" s="14" t="s">
        <v>21</v>
      </c>
      <c r="N4" s="14" t="s">
        <v>184</v>
      </c>
      <c r="O4" s="14" t="s">
        <v>33</v>
      </c>
      <c r="P4" s="14" t="s">
        <v>28</v>
      </c>
      <c r="Q4" s="14" t="s">
        <v>25</v>
      </c>
      <c r="R4" s="29" t="s">
        <v>339</v>
      </c>
      <c r="S4" s="14" t="s">
        <v>337</v>
      </c>
      <c r="T4" s="30" t="b">
        <v>1</v>
      </c>
    </row>
    <row r="5" spans="1:20" ht="22.5" customHeight="1" x14ac:dyDescent="0.35">
      <c r="A5" s="14" t="s">
        <v>320</v>
      </c>
      <c r="B5" s="20">
        <v>5</v>
      </c>
      <c r="C5" s="14" t="s">
        <v>257</v>
      </c>
      <c r="D5" s="14">
        <v>51</v>
      </c>
      <c r="E5" s="14" t="s">
        <v>37</v>
      </c>
      <c r="F5" s="14" t="s">
        <v>19</v>
      </c>
      <c r="G5" s="14">
        <v>5</v>
      </c>
      <c r="H5" s="14">
        <v>5</v>
      </c>
      <c r="I5" s="14">
        <v>5</v>
      </c>
      <c r="J5" s="14">
        <v>1</v>
      </c>
      <c r="K5" s="14">
        <v>5</v>
      </c>
      <c r="L5" s="14" t="s">
        <v>20</v>
      </c>
      <c r="M5" s="14" t="s">
        <v>21</v>
      </c>
      <c r="N5" s="14" t="s">
        <v>258</v>
      </c>
      <c r="O5" s="14" t="s">
        <v>33</v>
      </c>
      <c r="P5" s="14" t="s">
        <v>24</v>
      </c>
      <c r="Q5" s="14" t="s">
        <v>47</v>
      </c>
      <c r="R5" s="29" t="s">
        <v>340</v>
      </c>
      <c r="S5" s="14" t="s">
        <v>337</v>
      </c>
      <c r="T5" s="30" t="b">
        <v>1</v>
      </c>
    </row>
    <row r="6" spans="1:20" ht="22.5" customHeight="1" x14ac:dyDescent="0.35">
      <c r="A6" s="14" t="s">
        <v>320</v>
      </c>
      <c r="B6" s="20">
        <v>5</v>
      </c>
      <c r="C6" s="31" t="s">
        <v>381</v>
      </c>
      <c r="D6" s="14">
        <v>31</v>
      </c>
      <c r="E6" s="14" t="s">
        <v>37</v>
      </c>
      <c r="F6" s="14" t="s">
        <v>38</v>
      </c>
      <c r="G6" s="14">
        <v>5</v>
      </c>
      <c r="H6" s="14">
        <v>5</v>
      </c>
      <c r="I6" s="14">
        <v>4</v>
      </c>
      <c r="J6" s="14">
        <v>2</v>
      </c>
      <c r="K6" s="14">
        <v>5</v>
      </c>
      <c r="L6" s="14" t="s">
        <v>20</v>
      </c>
      <c r="M6" s="14" t="s">
        <v>43</v>
      </c>
      <c r="N6" s="14" t="s">
        <v>259</v>
      </c>
      <c r="O6" s="14" t="s">
        <v>40</v>
      </c>
      <c r="P6" s="14" t="s">
        <v>28</v>
      </c>
      <c r="Q6" s="14" t="s">
        <v>41</v>
      </c>
      <c r="R6" s="29" t="s">
        <v>341</v>
      </c>
      <c r="S6" s="14" t="s">
        <v>337</v>
      </c>
      <c r="T6" s="30" t="b">
        <v>1</v>
      </c>
    </row>
    <row r="7" spans="1:20" ht="22.5" customHeight="1" x14ac:dyDescent="0.35">
      <c r="A7" s="14" t="s">
        <v>320</v>
      </c>
      <c r="B7" s="20">
        <v>5</v>
      </c>
      <c r="C7" s="14" t="s">
        <v>260</v>
      </c>
      <c r="D7" s="14">
        <v>41</v>
      </c>
      <c r="E7" s="14" t="s">
        <v>18</v>
      </c>
      <c r="F7" s="14" t="s">
        <v>19</v>
      </c>
      <c r="G7" s="14">
        <v>5</v>
      </c>
      <c r="H7" s="14">
        <v>5</v>
      </c>
      <c r="I7" s="14">
        <v>5</v>
      </c>
      <c r="J7" s="14">
        <v>1</v>
      </c>
      <c r="K7" s="14">
        <v>4</v>
      </c>
      <c r="L7" s="14" t="s">
        <v>20</v>
      </c>
      <c r="M7" s="14" t="s">
        <v>43</v>
      </c>
      <c r="N7" s="14" t="s">
        <v>261</v>
      </c>
      <c r="O7" s="14" t="s">
        <v>23</v>
      </c>
      <c r="P7" s="14" t="s">
        <v>28</v>
      </c>
      <c r="Q7" s="14" t="s">
        <v>25</v>
      </c>
      <c r="R7" s="29" t="s">
        <v>342</v>
      </c>
      <c r="S7" s="14" t="s">
        <v>337</v>
      </c>
      <c r="T7" s="30" t="b">
        <v>1</v>
      </c>
    </row>
    <row r="8" spans="1:20" ht="22.5" customHeight="1" x14ac:dyDescent="0.35">
      <c r="A8" s="14" t="s">
        <v>320</v>
      </c>
      <c r="B8" s="20">
        <v>4</v>
      </c>
      <c r="C8" s="14" t="s">
        <v>262</v>
      </c>
      <c r="D8" s="14">
        <v>27</v>
      </c>
      <c r="E8" s="14" t="s">
        <v>37</v>
      </c>
      <c r="F8" s="14" t="s">
        <v>38</v>
      </c>
      <c r="G8" s="14">
        <v>4</v>
      </c>
      <c r="H8" s="14">
        <v>4</v>
      </c>
      <c r="I8" s="14">
        <v>5</v>
      </c>
      <c r="J8" s="14">
        <v>1</v>
      </c>
      <c r="K8" s="14">
        <v>4</v>
      </c>
      <c r="L8" s="14" t="s">
        <v>20</v>
      </c>
      <c r="M8" s="14" t="s">
        <v>43</v>
      </c>
      <c r="N8" s="14" t="s">
        <v>263</v>
      </c>
      <c r="O8" s="14" t="s">
        <v>137</v>
      </c>
      <c r="P8" s="14" t="s">
        <v>24</v>
      </c>
      <c r="Q8" s="14" t="s">
        <v>41</v>
      </c>
      <c r="R8" s="29" t="s">
        <v>343</v>
      </c>
      <c r="S8" s="14" t="s">
        <v>344</v>
      </c>
      <c r="T8" s="30" t="b">
        <v>1</v>
      </c>
    </row>
    <row r="9" spans="1:20" ht="22.5" customHeight="1" x14ac:dyDescent="0.35">
      <c r="A9" s="14" t="s">
        <v>320</v>
      </c>
      <c r="B9" s="20">
        <v>5</v>
      </c>
      <c r="C9" s="14" t="s">
        <v>264</v>
      </c>
      <c r="D9" s="14">
        <v>49</v>
      </c>
      <c r="E9" s="14" t="s">
        <v>37</v>
      </c>
      <c r="F9" s="14" t="s">
        <v>19</v>
      </c>
      <c r="G9" s="14">
        <v>5</v>
      </c>
      <c r="H9" s="14">
        <v>5</v>
      </c>
      <c r="I9" s="14">
        <v>5</v>
      </c>
      <c r="J9" s="14">
        <v>1</v>
      </c>
      <c r="K9" s="14">
        <v>5</v>
      </c>
      <c r="L9" s="14" t="s">
        <v>20</v>
      </c>
      <c r="M9" s="14" t="s">
        <v>21</v>
      </c>
      <c r="N9" s="14" t="s">
        <v>265</v>
      </c>
      <c r="O9" s="14" t="s">
        <v>33</v>
      </c>
      <c r="P9" s="14" t="s">
        <v>24</v>
      </c>
      <c r="Q9" s="14" t="s">
        <v>47</v>
      </c>
      <c r="R9" s="29" t="s">
        <v>345</v>
      </c>
      <c r="S9" s="14" t="s">
        <v>337</v>
      </c>
      <c r="T9" s="30" t="b">
        <v>1</v>
      </c>
    </row>
    <row r="10" spans="1:20" ht="22.5" customHeight="1" x14ac:dyDescent="0.35">
      <c r="A10" s="14" t="s">
        <v>320</v>
      </c>
      <c r="B10" s="20">
        <v>5</v>
      </c>
      <c r="C10" s="14" t="s">
        <v>266</v>
      </c>
      <c r="D10" s="14">
        <v>44</v>
      </c>
      <c r="E10" s="14" t="s">
        <v>18</v>
      </c>
      <c r="F10" s="14" t="s">
        <v>19</v>
      </c>
      <c r="G10" s="14">
        <v>5</v>
      </c>
      <c r="H10" s="14">
        <v>5</v>
      </c>
      <c r="I10" s="14">
        <v>5</v>
      </c>
      <c r="J10" s="14">
        <v>1</v>
      </c>
      <c r="K10" s="14">
        <v>5</v>
      </c>
      <c r="L10" s="14" t="s">
        <v>20</v>
      </c>
      <c r="M10" s="14" t="s">
        <v>21</v>
      </c>
      <c r="N10" s="14" t="s">
        <v>267</v>
      </c>
      <c r="O10" s="14" t="s">
        <v>33</v>
      </c>
      <c r="P10" s="14" t="s">
        <v>24</v>
      </c>
      <c r="Q10" s="14" t="s">
        <v>25</v>
      </c>
      <c r="R10" s="29" t="s">
        <v>346</v>
      </c>
      <c r="S10" s="14" t="s">
        <v>344</v>
      </c>
      <c r="T10" s="30" t="b">
        <v>1</v>
      </c>
    </row>
    <row r="11" spans="1:20" ht="22.5" customHeight="1" x14ac:dyDescent="0.35">
      <c r="A11" s="14" t="s">
        <v>320</v>
      </c>
      <c r="B11" s="20">
        <v>4</v>
      </c>
      <c r="C11" s="14" t="s">
        <v>268</v>
      </c>
      <c r="D11" s="14">
        <v>31</v>
      </c>
      <c r="E11" s="14" t="s">
        <v>37</v>
      </c>
      <c r="F11" s="14" t="s">
        <v>198</v>
      </c>
      <c r="G11" s="14">
        <v>3</v>
      </c>
      <c r="H11" s="14">
        <v>3</v>
      </c>
      <c r="I11" s="14">
        <v>4</v>
      </c>
      <c r="J11" s="14">
        <v>2</v>
      </c>
      <c r="K11" s="14">
        <v>3</v>
      </c>
      <c r="L11" s="14" t="s">
        <v>20</v>
      </c>
      <c r="M11" s="14" t="s">
        <v>21</v>
      </c>
      <c r="N11" s="14" t="s">
        <v>269</v>
      </c>
      <c r="O11" s="14" t="s">
        <v>53</v>
      </c>
      <c r="P11" s="14" t="s">
        <v>270</v>
      </c>
      <c r="Q11" s="14" t="s">
        <v>125</v>
      </c>
      <c r="R11" s="29" t="s">
        <v>347</v>
      </c>
      <c r="S11" s="14" t="s">
        <v>344</v>
      </c>
      <c r="T11" s="30" t="b">
        <v>1</v>
      </c>
    </row>
    <row r="12" spans="1:20" ht="22.5" customHeight="1" x14ac:dyDescent="0.35">
      <c r="A12" s="14" t="s">
        <v>320</v>
      </c>
      <c r="B12" s="20">
        <v>3</v>
      </c>
      <c r="C12" s="14" t="s">
        <v>271</v>
      </c>
      <c r="D12" s="14">
        <v>30</v>
      </c>
      <c r="E12" s="14" t="s">
        <v>18</v>
      </c>
      <c r="F12" s="14" t="s">
        <v>38</v>
      </c>
      <c r="G12" s="14">
        <v>5</v>
      </c>
      <c r="H12" s="14">
        <v>4</v>
      </c>
      <c r="I12" s="14">
        <v>5</v>
      </c>
      <c r="J12" s="14">
        <v>3</v>
      </c>
      <c r="K12" s="14">
        <v>5</v>
      </c>
      <c r="L12" s="14" t="s">
        <v>20</v>
      </c>
      <c r="M12" s="14" t="s">
        <v>21</v>
      </c>
      <c r="N12" s="14" t="s">
        <v>272</v>
      </c>
      <c r="O12" s="14" t="s">
        <v>53</v>
      </c>
      <c r="P12" s="14" t="s">
        <v>28</v>
      </c>
      <c r="Q12" s="14" t="s">
        <v>41</v>
      </c>
      <c r="R12" s="29" t="s">
        <v>348</v>
      </c>
      <c r="S12" s="14" t="s">
        <v>337</v>
      </c>
      <c r="T12" s="30" t="b">
        <v>1</v>
      </c>
    </row>
    <row r="13" spans="1:20" ht="22.5" customHeight="1" x14ac:dyDescent="0.35">
      <c r="A13" s="14" t="s">
        <v>320</v>
      </c>
      <c r="B13" s="20">
        <v>4</v>
      </c>
      <c r="C13" s="14" t="s">
        <v>273</v>
      </c>
      <c r="D13" s="14">
        <v>43</v>
      </c>
      <c r="E13" s="14" t="s">
        <v>37</v>
      </c>
      <c r="F13" s="14" t="s">
        <v>19</v>
      </c>
      <c r="G13" s="14">
        <v>4</v>
      </c>
      <c r="H13" s="14">
        <v>4</v>
      </c>
      <c r="I13" s="14">
        <v>5</v>
      </c>
      <c r="J13" s="14">
        <v>3</v>
      </c>
      <c r="K13" s="14">
        <v>5</v>
      </c>
      <c r="L13" s="14" t="s">
        <v>20</v>
      </c>
      <c r="M13" s="14" t="s">
        <v>21</v>
      </c>
      <c r="N13" s="14" t="s">
        <v>274</v>
      </c>
      <c r="O13" s="14" t="s">
        <v>33</v>
      </c>
      <c r="P13" s="14" t="s">
        <v>24</v>
      </c>
      <c r="Q13" s="14" t="s">
        <v>25</v>
      </c>
      <c r="R13" s="29" t="s">
        <v>349</v>
      </c>
      <c r="S13" s="14" t="s">
        <v>344</v>
      </c>
      <c r="T13" s="30" t="b">
        <v>1</v>
      </c>
    </row>
    <row r="14" spans="1:20" ht="22.5" customHeight="1" x14ac:dyDescent="0.35">
      <c r="A14" s="14" t="s">
        <v>320</v>
      </c>
      <c r="B14" s="20">
        <v>5</v>
      </c>
      <c r="C14" s="14" t="s">
        <v>275</v>
      </c>
      <c r="D14" s="14">
        <v>46</v>
      </c>
      <c r="E14" s="14" t="s">
        <v>37</v>
      </c>
      <c r="F14" s="14" t="s">
        <v>38</v>
      </c>
      <c r="G14" s="14">
        <v>4</v>
      </c>
      <c r="H14" s="14">
        <v>4</v>
      </c>
      <c r="I14" s="14">
        <v>3</v>
      </c>
      <c r="J14" s="14">
        <v>3</v>
      </c>
      <c r="K14" s="14">
        <v>4</v>
      </c>
      <c r="L14" s="14" t="s">
        <v>20</v>
      </c>
      <c r="M14" s="14" t="s">
        <v>43</v>
      </c>
      <c r="N14" s="14" t="s">
        <v>77</v>
      </c>
      <c r="O14" s="14" t="s">
        <v>53</v>
      </c>
      <c r="P14" s="14" t="s">
        <v>24</v>
      </c>
      <c r="Q14" s="14" t="s">
        <v>41</v>
      </c>
      <c r="R14" s="29" t="s">
        <v>350</v>
      </c>
      <c r="S14" s="14" t="s">
        <v>337</v>
      </c>
    </row>
    <row r="15" spans="1:20" ht="22.5" customHeight="1" x14ac:dyDescent="0.35">
      <c r="A15" s="14" t="s">
        <v>320</v>
      </c>
      <c r="B15" s="20">
        <v>4</v>
      </c>
      <c r="C15" s="14" t="s">
        <v>276</v>
      </c>
      <c r="D15" s="14">
        <v>35</v>
      </c>
      <c r="E15" s="14" t="s">
        <v>18</v>
      </c>
      <c r="F15" s="14" t="s">
        <v>38</v>
      </c>
      <c r="G15" s="14">
        <v>5</v>
      </c>
      <c r="H15" s="14">
        <v>3</v>
      </c>
      <c r="I15" s="14">
        <v>4</v>
      </c>
      <c r="J15" s="14">
        <v>3</v>
      </c>
      <c r="K15" s="14">
        <v>5</v>
      </c>
      <c r="L15" s="14" t="s">
        <v>20</v>
      </c>
      <c r="M15" s="14" t="s">
        <v>43</v>
      </c>
      <c r="N15" s="14" t="s">
        <v>277</v>
      </c>
      <c r="O15" s="14" t="s">
        <v>53</v>
      </c>
      <c r="P15" s="14" t="s">
        <v>28</v>
      </c>
      <c r="Q15" s="14" t="s">
        <v>41</v>
      </c>
      <c r="R15" s="29" t="s">
        <v>351</v>
      </c>
      <c r="S15" s="14" t="s">
        <v>344</v>
      </c>
    </row>
    <row r="16" spans="1:20" ht="22.5" customHeight="1" x14ac:dyDescent="0.35">
      <c r="A16" s="14" t="s">
        <v>320</v>
      </c>
      <c r="B16" s="20">
        <v>4</v>
      </c>
      <c r="C16" s="14" t="s">
        <v>278</v>
      </c>
      <c r="D16" s="14">
        <v>46</v>
      </c>
      <c r="E16" s="14" t="s">
        <v>37</v>
      </c>
      <c r="F16" s="14" t="s">
        <v>38</v>
      </c>
      <c r="G16" s="14">
        <v>5</v>
      </c>
      <c r="H16" s="14">
        <v>4</v>
      </c>
      <c r="I16" s="14">
        <v>5</v>
      </c>
      <c r="J16" s="14">
        <v>2</v>
      </c>
      <c r="K16" s="14">
        <v>4</v>
      </c>
      <c r="L16" s="14" t="s">
        <v>20</v>
      </c>
      <c r="M16" s="14" t="s">
        <v>21</v>
      </c>
      <c r="N16" s="14" t="s">
        <v>279</v>
      </c>
      <c r="O16" s="14" t="s">
        <v>33</v>
      </c>
      <c r="P16" s="14" t="s">
        <v>24</v>
      </c>
      <c r="Q16" s="14" t="s">
        <v>25</v>
      </c>
      <c r="R16" s="29" t="s">
        <v>352</v>
      </c>
      <c r="S16" s="14" t="s">
        <v>337</v>
      </c>
    </row>
    <row r="17" spans="1:19" ht="22.5" customHeight="1" x14ac:dyDescent="0.35">
      <c r="A17" s="14" t="s">
        <v>320</v>
      </c>
      <c r="B17" s="20">
        <v>5</v>
      </c>
      <c r="C17" s="14" t="s">
        <v>280</v>
      </c>
      <c r="D17" s="14">
        <v>31</v>
      </c>
      <c r="E17" s="14" t="s">
        <v>18</v>
      </c>
      <c r="F17" s="14" t="s">
        <v>38</v>
      </c>
      <c r="G17" s="14">
        <v>5</v>
      </c>
      <c r="H17" s="14">
        <v>5</v>
      </c>
      <c r="I17" s="14">
        <v>5</v>
      </c>
      <c r="J17" s="14">
        <v>2</v>
      </c>
      <c r="K17" s="14">
        <v>5</v>
      </c>
      <c r="L17" s="14" t="s">
        <v>51</v>
      </c>
      <c r="M17" s="14" t="s">
        <v>43</v>
      </c>
      <c r="N17" s="14" t="s">
        <v>83</v>
      </c>
      <c r="O17" s="14" t="s">
        <v>53</v>
      </c>
      <c r="P17" s="14" t="s">
        <v>24</v>
      </c>
      <c r="Q17" s="14" t="s">
        <v>41</v>
      </c>
      <c r="R17" s="29" t="s">
        <v>353</v>
      </c>
      <c r="S17" s="14" t="s">
        <v>344</v>
      </c>
    </row>
    <row r="18" spans="1:19" ht="22.5" customHeight="1" x14ac:dyDescent="0.35">
      <c r="A18" s="14" t="s">
        <v>320</v>
      </c>
      <c r="B18" s="20">
        <v>5</v>
      </c>
      <c r="C18" s="14" t="s">
        <v>281</v>
      </c>
      <c r="D18" s="14">
        <v>45</v>
      </c>
      <c r="E18" s="14" t="s">
        <v>18</v>
      </c>
      <c r="F18" s="14" t="s">
        <v>38</v>
      </c>
      <c r="G18" s="14">
        <v>4</v>
      </c>
      <c r="H18" s="14">
        <v>5</v>
      </c>
      <c r="I18" s="14">
        <v>5</v>
      </c>
      <c r="J18" s="14">
        <v>2</v>
      </c>
      <c r="K18" s="14">
        <v>5</v>
      </c>
      <c r="L18" s="14" t="s">
        <v>20</v>
      </c>
      <c r="M18" s="14" t="s">
        <v>21</v>
      </c>
      <c r="N18" s="14" t="s">
        <v>282</v>
      </c>
      <c r="O18" s="14" t="s">
        <v>23</v>
      </c>
      <c r="P18" s="14" t="s">
        <v>28</v>
      </c>
      <c r="Q18" s="14" t="s">
        <v>25</v>
      </c>
      <c r="R18" s="29" t="s">
        <v>354</v>
      </c>
      <c r="S18" s="14" t="s">
        <v>344</v>
      </c>
    </row>
    <row r="19" spans="1:19" ht="22.5" customHeight="1" x14ac:dyDescent="0.35">
      <c r="A19" s="14" t="s">
        <v>320</v>
      </c>
      <c r="B19" s="20">
        <v>5</v>
      </c>
      <c r="C19" s="14" t="s">
        <v>283</v>
      </c>
      <c r="D19" s="14">
        <v>37</v>
      </c>
      <c r="E19" s="14" t="s">
        <v>37</v>
      </c>
      <c r="F19" s="14" t="s">
        <v>38</v>
      </c>
      <c r="G19" s="14">
        <v>5</v>
      </c>
      <c r="H19" s="14">
        <v>4</v>
      </c>
      <c r="I19" s="14">
        <v>4</v>
      </c>
      <c r="J19" s="14">
        <v>2</v>
      </c>
      <c r="K19" s="14">
        <v>3</v>
      </c>
      <c r="L19" s="14" t="s">
        <v>20</v>
      </c>
      <c r="M19" s="14" t="s">
        <v>21</v>
      </c>
      <c r="N19" s="14" t="s">
        <v>284</v>
      </c>
      <c r="O19" s="14" t="s">
        <v>23</v>
      </c>
      <c r="P19" s="14" t="s">
        <v>24</v>
      </c>
      <c r="Q19" s="14" t="s">
        <v>25</v>
      </c>
      <c r="R19" s="29" t="s">
        <v>355</v>
      </c>
      <c r="S19" s="14" t="s">
        <v>337</v>
      </c>
    </row>
    <row r="20" spans="1:19" ht="22.5" customHeight="1" x14ac:dyDescent="0.35">
      <c r="A20" s="14" t="s">
        <v>320</v>
      </c>
      <c r="B20" s="20">
        <v>5</v>
      </c>
      <c r="C20" s="14" t="s">
        <v>285</v>
      </c>
      <c r="D20" s="14">
        <v>29</v>
      </c>
      <c r="E20" s="14" t="s">
        <v>18</v>
      </c>
      <c r="F20" s="14" t="s">
        <v>38</v>
      </c>
      <c r="G20" s="14">
        <v>5</v>
      </c>
      <c r="H20" s="14">
        <v>4</v>
      </c>
      <c r="I20" s="14">
        <v>5</v>
      </c>
      <c r="J20" s="14">
        <v>2</v>
      </c>
      <c r="K20" s="14">
        <v>5</v>
      </c>
      <c r="L20" s="14" t="s">
        <v>20</v>
      </c>
      <c r="M20" s="14" t="s">
        <v>21</v>
      </c>
      <c r="N20" s="14" t="s">
        <v>286</v>
      </c>
      <c r="O20" s="14" t="s">
        <v>40</v>
      </c>
      <c r="P20" s="14" t="s">
        <v>24</v>
      </c>
      <c r="Q20" s="14" t="s">
        <v>41</v>
      </c>
      <c r="R20" s="29" t="s">
        <v>356</v>
      </c>
      <c r="S20" s="14" t="s">
        <v>337</v>
      </c>
    </row>
    <row r="21" spans="1:19" ht="22.5" customHeight="1" x14ac:dyDescent="0.35">
      <c r="A21" s="14" t="s">
        <v>320</v>
      </c>
      <c r="B21" s="20">
        <v>5</v>
      </c>
      <c r="C21" s="14" t="s">
        <v>287</v>
      </c>
      <c r="D21" s="14">
        <v>31</v>
      </c>
      <c r="E21" s="14" t="s">
        <v>37</v>
      </c>
      <c r="F21" s="14" t="s">
        <v>19</v>
      </c>
      <c r="G21" s="14">
        <v>5</v>
      </c>
      <c r="H21" s="14">
        <v>5</v>
      </c>
      <c r="I21" s="14">
        <v>4</v>
      </c>
      <c r="J21" s="14">
        <v>2</v>
      </c>
      <c r="K21" s="14">
        <v>4</v>
      </c>
      <c r="L21" s="14" t="s">
        <v>20</v>
      </c>
      <c r="M21" s="14" t="s">
        <v>43</v>
      </c>
      <c r="N21" s="14" t="s">
        <v>83</v>
      </c>
      <c r="O21" s="14" t="s">
        <v>40</v>
      </c>
      <c r="P21" s="14" t="s">
        <v>28</v>
      </c>
      <c r="Q21" s="14" t="s">
        <v>41</v>
      </c>
      <c r="R21" s="29" t="s">
        <v>357</v>
      </c>
      <c r="S21" s="14" t="s">
        <v>337</v>
      </c>
    </row>
    <row r="22" spans="1:19" ht="22.5" customHeight="1" x14ac:dyDescent="0.35">
      <c r="A22" s="14" t="s">
        <v>320</v>
      </c>
      <c r="B22" s="20">
        <v>5</v>
      </c>
      <c r="C22" s="14" t="s">
        <v>288</v>
      </c>
      <c r="D22" s="14">
        <v>29</v>
      </c>
      <c r="E22" s="14" t="s">
        <v>37</v>
      </c>
      <c r="F22" s="14" t="s">
        <v>38</v>
      </c>
      <c r="G22" s="14">
        <v>4</v>
      </c>
      <c r="H22" s="14">
        <v>4</v>
      </c>
      <c r="I22" s="14">
        <v>4</v>
      </c>
      <c r="J22" s="14">
        <v>3</v>
      </c>
      <c r="K22" s="14">
        <v>4</v>
      </c>
      <c r="L22" s="14" t="s">
        <v>20</v>
      </c>
      <c r="M22" s="14" t="s">
        <v>21</v>
      </c>
      <c r="N22" s="14" t="s">
        <v>289</v>
      </c>
      <c r="O22" s="14" t="s">
        <v>53</v>
      </c>
      <c r="P22" s="14" t="s">
        <v>28</v>
      </c>
      <c r="Q22" s="14" t="s">
        <v>41</v>
      </c>
      <c r="R22" s="29" t="s">
        <v>358</v>
      </c>
      <c r="S22" s="14" t="s">
        <v>337</v>
      </c>
    </row>
    <row r="23" spans="1:19" ht="22.5" customHeight="1" x14ac:dyDescent="0.35">
      <c r="A23" s="14" t="s">
        <v>320</v>
      </c>
      <c r="B23" s="20">
        <v>4</v>
      </c>
      <c r="C23" s="14" t="s">
        <v>290</v>
      </c>
      <c r="D23" s="14">
        <v>27</v>
      </c>
      <c r="E23" s="14" t="s">
        <v>18</v>
      </c>
      <c r="F23" s="14" t="s">
        <v>198</v>
      </c>
      <c r="G23" s="14">
        <v>4</v>
      </c>
      <c r="H23" s="14">
        <v>4</v>
      </c>
      <c r="I23" s="14">
        <v>4</v>
      </c>
      <c r="J23" s="14">
        <v>1</v>
      </c>
      <c r="K23" s="14">
        <v>3</v>
      </c>
      <c r="L23" s="14" t="s">
        <v>20</v>
      </c>
      <c r="M23" s="14" t="s">
        <v>43</v>
      </c>
      <c r="N23" s="14" t="s">
        <v>291</v>
      </c>
      <c r="O23" s="14" t="s">
        <v>40</v>
      </c>
      <c r="P23" s="14" t="s">
        <v>124</v>
      </c>
      <c r="Q23" s="14" t="s">
        <v>125</v>
      </c>
      <c r="R23" s="29" t="s">
        <v>359</v>
      </c>
      <c r="S23" s="14" t="s">
        <v>344</v>
      </c>
    </row>
    <row r="24" spans="1:19" ht="22.5" customHeight="1" x14ac:dyDescent="0.35">
      <c r="A24" s="14" t="s">
        <v>320</v>
      </c>
      <c r="B24" s="20">
        <v>5</v>
      </c>
      <c r="C24" s="14" t="s">
        <v>292</v>
      </c>
      <c r="D24" s="14">
        <v>37</v>
      </c>
      <c r="E24" s="14" t="s">
        <v>37</v>
      </c>
      <c r="F24" s="14" t="s">
        <v>38</v>
      </c>
      <c r="G24" s="14">
        <v>4</v>
      </c>
      <c r="H24" s="14">
        <v>3</v>
      </c>
      <c r="I24" s="14">
        <v>3</v>
      </c>
      <c r="J24" s="14">
        <v>3</v>
      </c>
      <c r="K24" s="14">
        <v>4</v>
      </c>
      <c r="L24" s="14" t="s">
        <v>20</v>
      </c>
      <c r="M24" s="14" t="s">
        <v>21</v>
      </c>
      <c r="N24" s="14" t="s">
        <v>101</v>
      </c>
      <c r="O24" s="14" t="s">
        <v>40</v>
      </c>
      <c r="P24" s="14" t="s">
        <v>24</v>
      </c>
      <c r="Q24" s="14" t="s">
        <v>41</v>
      </c>
      <c r="R24" s="29" t="s">
        <v>360</v>
      </c>
      <c r="S24" s="14" t="s">
        <v>344</v>
      </c>
    </row>
    <row r="25" spans="1:19" ht="22.5" customHeight="1" x14ac:dyDescent="0.35">
      <c r="A25" s="14" t="s">
        <v>320</v>
      </c>
      <c r="B25" s="20">
        <v>4</v>
      </c>
      <c r="C25" s="14" t="s">
        <v>293</v>
      </c>
      <c r="D25" s="14">
        <v>39</v>
      </c>
      <c r="E25" s="14" t="s">
        <v>18</v>
      </c>
      <c r="F25" s="14" t="s">
        <v>38</v>
      </c>
      <c r="G25" s="14">
        <v>3</v>
      </c>
      <c r="H25" s="14">
        <v>3</v>
      </c>
      <c r="I25" s="14">
        <v>4</v>
      </c>
      <c r="J25" s="14">
        <v>3</v>
      </c>
      <c r="K25" s="14">
        <v>3</v>
      </c>
      <c r="L25" s="14" t="s">
        <v>20</v>
      </c>
      <c r="M25" s="14" t="s">
        <v>21</v>
      </c>
      <c r="N25" s="14" t="s">
        <v>289</v>
      </c>
      <c r="O25" s="14" t="s">
        <v>40</v>
      </c>
      <c r="P25" s="14" t="s">
        <v>28</v>
      </c>
      <c r="Q25" s="14" t="s">
        <v>41</v>
      </c>
      <c r="R25" s="29" t="s">
        <v>361</v>
      </c>
      <c r="S25" s="14" t="s">
        <v>344</v>
      </c>
    </row>
    <row r="26" spans="1:19" ht="22.5" customHeight="1" x14ac:dyDescent="0.35">
      <c r="A26" s="14" t="s">
        <v>320</v>
      </c>
      <c r="B26" s="20">
        <v>5</v>
      </c>
      <c r="C26" s="14" t="s">
        <v>294</v>
      </c>
      <c r="D26" s="14">
        <v>39</v>
      </c>
      <c r="E26" s="14" t="s">
        <v>37</v>
      </c>
      <c r="F26" s="14" t="s">
        <v>38</v>
      </c>
      <c r="G26" s="14">
        <v>3</v>
      </c>
      <c r="H26" s="14">
        <v>4</v>
      </c>
      <c r="I26" s="14">
        <v>3</v>
      </c>
      <c r="J26" s="14">
        <v>3</v>
      </c>
      <c r="K26" s="14">
        <v>4</v>
      </c>
      <c r="L26" s="14" t="s">
        <v>20</v>
      </c>
      <c r="M26" s="14" t="s">
        <v>21</v>
      </c>
      <c r="N26" s="14" t="s">
        <v>101</v>
      </c>
      <c r="O26" s="14" t="s">
        <v>23</v>
      </c>
      <c r="P26" s="14" t="s">
        <v>24</v>
      </c>
      <c r="Q26" s="14" t="s">
        <v>25</v>
      </c>
      <c r="R26" s="29" t="s">
        <v>362</v>
      </c>
      <c r="S26" s="14" t="s">
        <v>344</v>
      </c>
    </row>
    <row r="27" spans="1:19" ht="22.5" customHeight="1" x14ac:dyDescent="0.35">
      <c r="A27" s="14" t="s">
        <v>320</v>
      </c>
      <c r="B27" s="20">
        <v>5</v>
      </c>
      <c r="C27" s="14" t="s">
        <v>295</v>
      </c>
      <c r="D27" s="14">
        <v>31</v>
      </c>
      <c r="E27" s="14" t="s">
        <v>37</v>
      </c>
      <c r="F27" s="14" t="s">
        <v>38</v>
      </c>
      <c r="G27" s="14">
        <v>5</v>
      </c>
      <c r="H27" s="14">
        <v>4</v>
      </c>
      <c r="I27" s="14">
        <v>3</v>
      </c>
      <c r="J27" s="14">
        <v>3</v>
      </c>
      <c r="K27" s="14">
        <v>4</v>
      </c>
      <c r="L27" s="14" t="s">
        <v>20</v>
      </c>
      <c r="M27" s="14" t="s">
        <v>43</v>
      </c>
      <c r="N27" s="14" t="s">
        <v>67</v>
      </c>
      <c r="O27" s="14" t="s">
        <v>40</v>
      </c>
      <c r="P27" s="14" t="s">
        <v>24</v>
      </c>
      <c r="Q27" s="14" t="s">
        <v>25</v>
      </c>
      <c r="R27" s="29" t="s">
        <v>363</v>
      </c>
      <c r="S27" s="14" t="s">
        <v>337</v>
      </c>
    </row>
    <row r="28" spans="1:19" ht="22.5" customHeight="1" x14ac:dyDescent="0.35">
      <c r="A28" s="14" t="s">
        <v>320</v>
      </c>
      <c r="B28" s="20">
        <v>4</v>
      </c>
      <c r="C28" s="14" t="s">
        <v>296</v>
      </c>
      <c r="D28" s="14">
        <v>34</v>
      </c>
      <c r="E28" s="14" t="s">
        <v>18</v>
      </c>
      <c r="F28" s="14" t="s">
        <v>38</v>
      </c>
      <c r="G28" s="14">
        <v>3</v>
      </c>
      <c r="H28" s="14">
        <v>4</v>
      </c>
      <c r="I28" s="14">
        <v>3</v>
      </c>
      <c r="J28" s="14">
        <v>2</v>
      </c>
      <c r="K28" s="14">
        <v>3</v>
      </c>
      <c r="L28" s="14" t="s">
        <v>51</v>
      </c>
      <c r="M28" s="14" t="s">
        <v>43</v>
      </c>
      <c r="N28" s="14" t="s">
        <v>77</v>
      </c>
      <c r="O28" s="14" t="s">
        <v>53</v>
      </c>
      <c r="P28" s="14" t="s">
        <v>28</v>
      </c>
      <c r="Q28" s="14" t="s">
        <v>41</v>
      </c>
      <c r="R28" s="29" t="s">
        <v>364</v>
      </c>
      <c r="S28" s="14" t="s">
        <v>344</v>
      </c>
    </row>
    <row r="29" spans="1:19" ht="22.5" customHeight="1" x14ac:dyDescent="0.35">
      <c r="A29" s="14" t="s">
        <v>320</v>
      </c>
      <c r="B29" s="20">
        <v>5</v>
      </c>
      <c r="C29" s="14" t="s">
        <v>297</v>
      </c>
      <c r="D29" s="14">
        <v>33</v>
      </c>
      <c r="E29" s="14" t="s">
        <v>18</v>
      </c>
      <c r="F29" s="14" t="s">
        <v>38</v>
      </c>
      <c r="G29" s="14">
        <v>3</v>
      </c>
      <c r="H29" s="14">
        <v>4</v>
      </c>
      <c r="I29" s="14">
        <v>4</v>
      </c>
      <c r="J29" s="14">
        <v>2</v>
      </c>
      <c r="K29" s="14">
        <v>3</v>
      </c>
      <c r="L29" s="14" t="s">
        <v>51</v>
      </c>
      <c r="M29" s="14" t="s">
        <v>43</v>
      </c>
      <c r="N29" s="14" t="s">
        <v>67</v>
      </c>
      <c r="O29" s="14" t="s">
        <v>53</v>
      </c>
      <c r="P29" s="14" t="s">
        <v>28</v>
      </c>
      <c r="Q29" s="14" t="s">
        <v>25</v>
      </c>
      <c r="R29" s="29" t="s">
        <v>365</v>
      </c>
      <c r="S29" s="14" t="s">
        <v>337</v>
      </c>
    </row>
    <row r="30" spans="1:19" ht="22.5" customHeight="1" x14ac:dyDescent="0.35">
      <c r="A30" s="14" t="s">
        <v>320</v>
      </c>
      <c r="B30" s="20">
        <v>5</v>
      </c>
      <c r="C30" s="14" t="s">
        <v>298</v>
      </c>
      <c r="D30" s="14">
        <v>37</v>
      </c>
      <c r="E30" s="14" t="s">
        <v>37</v>
      </c>
      <c r="F30" s="14" t="s">
        <v>38</v>
      </c>
      <c r="G30" s="14">
        <v>4</v>
      </c>
      <c r="H30" s="14">
        <v>4</v>
      </c>
      <c r="I30" s="14">
        <v>3</v>
      </c>
      <c r="J30" s="14">
        <v>2</v>
      </c>
      <c r="K30" s="14">
        <v>3</v>
      </c>
      <c r="L30" s="14" t="s">
        <v>20</v>
      </c>
      <c r="M30" s="14" t="s">
        <v>43</v>
      </c>
      <c r="N30" s="14" t="s">
        <v>291</v>
      </c>
      <c r="O30" s="14" t="s">
        <v>40</v>
      </c>
      <c r="P30" s="14" t="s">
        <v>24</v>
      </c>
      <c r="Q30" s="14" t="s">
        <v>41</v>
      </c>
      <c r="R30" s="29" t="s">
        <v>366</v>
      </c>
      <c r="S30" s="14" t="s">
        <v>337</v>
      </c>
    </row>
    <row r="31" spans="1:19" ht="22.5" customHeight="1" x14ac:dyDescent="0.35">
      <c r="A31" s="14" t="s">
        <v>320</v>
      </c>
      <c r="B31" s="20">
        <v>4</v>
      </c>
      <c r="C31" s="14" t="s">
        <v>299</v>
      </c>
      <c r="D31" s="14">
        <v>47</v>
      </c>
      <c r="E31" s="14" t="s">
        <v>18</v>
      </c>
      <c r="F31" s="14" t="s">
        <v>19</v>
      </c>
      <c r="G31" s="14">
        <v>4</v>
      </c>
      <c r="H31" s="14">
        <v>3</v>
      </c>
      <c r="I31" s="14">
        <v>3</v>
      </c>
      <c r="J31" s="14">
        <v>2</v>
      </c>
      <c r="K31" s="14">
        <v>4</v>
      </c>
      <c r="L31" s="14" t="s">
        <v>20</v>
      </c>
      <c r="M31" s="14" t="s">
        <v>21</v>
      </c>
      <c r="N31" s="14" t="s">
        <v>182</v>
      </c>
      <c r="O31" s="14" t="s">
        <v>33</v>
      </c>
      <c r="P31" s="14" t="s">
        <v>28</v>
      </c>
      <c r="Q31" s="14" t="s">
        <v>25</v>
      </c>
      <c r="R31" s="29" t="s">
        <v>367</v>
      </c>
      <c r="S31" s="14" t="s">
        <v>337</v>
      </c>
    </row>
    <row r="32" spans="1:19" ht="22.5" customHeight="1" x14ac:dyDescent="0.35">
      <c r="A32" s="14" t="s">
        <v>320</v>
      </c>
      <c r="B32" s="20">
        <v>4</v>
      </c>
      <c r="C32" s="14" t="s">
        <v>300</v>
      </c>
      <c r="D32" s="14">
        <v>33</v>
      </c>
      <c r="E32" s="14" t="s">
        <v>18</v>
      </c>
      <c r="F32" s="14" t="s">
        <v>38</v>
      </c>
      <c r="G32" s="14">
        <v>3</v>
      </c>
      <c r="H32" s="14">
        <v>3</v>
      </c>
      <c r="I32" s="14">
        <v>4</v>
      </c>
      <c r="J32" s="14">
        <v>2</v>
      </c>
      <c r="K32" s="14">
        <v>4</v>
      </c>
      <c r="L32" s="14" t="s">
        <v>20</v>
      </c>
      <c r="M32" s="14" t="s">
        <v>43</v>
      </c>
      <c r="N32" s="14" t="s">
        <v>67</v>
      </c>
      <c r="O32" s="14" t="s">
        <v>40</v>
      </c>
      <c r="P32" s="14" t="s">
        <v>28</v>
      </c>
      <c r="Q32" s="14" t="s">
        <v>41</v>
      </c>
      <c r="R32" s="29" t="s">
        <v>368</v>
      </c>
      <c r="S32" s="14" t="s">
        <v>344</v>
      </c>
    </row>
    <row r="33" spans="1:19" ht="22.5" customHeight="1" x14ac:dyDescent="0.35">
      <c r="A33" s="14" t="s">
        <v>320</v>
      </c>
      <c r="B33" s="20">
        <v>4</v>
      </c>
      <c r="C33" s="14" t="s">
        <v>301</v>
      </c>
      <c r="D33" s="14">
        <v>29</v>
      </c>
      <c r="E33" s="14" t="s">
        <v>18</v>
      </c>
      <c r="F33" s="14" t="s">
        <v>38</v>
      </c>
      <c r="G33" s="14">
        <v>4</v>
      </c>
      <c r="H33" s="14">
        <v>3</v>
      </c>
      <c r="I33" s="14">
        <v>4</v>
      </c>
      <c r="J33" s="14">
        <v>2</v>
      </c>
      <c r="K33" s="14">
        <v>3</v>
      </c>
      <c r="L33" s="14" t="s">
        <v>20</v>
      </c>
      <c r="M33" s="14" t="s">
        <v>43</v>
      </c>
      <c r="N33" s="14" t="s">
        <v>87</v>
      </c>
      <c r="O33" s="14" t="s">
        <v>40</v>
      </c>
      <c r="P33" s="14" t="s">
        <v>24</v>
      </c>
      <c r="Q33" s="14" t="s">
        <v>41</v>
      </c>
      <c r="R33" s="29" t="s">
        <v>369</v>
      </c>
      <c r="S33" s="14" t="s">
        <v>344</v>
      </c>
    </row>
    <row r="34" spans="1:19" ht="22.5" customHeight="1" x14ac:dyDescent="0.35">
      <c r="A34" s="14" t="s">
        <v>320</v>
      </c>
      <c r="B34" s="20">
        <v>4</v>
      </c>
      <c r="C34" s="14" t="s">
        <v>302</v>
      </c>
      <c r="D34" s="14">
        <v>38</v>
      </c>
      <c r="E34" s="14" t="s">
        <v>37</v>
      </c>
      <c r="F34" s="14" t="s">
        <v>38</v>
      </c>
      <c r="G34" s="14">
        <v>3</v>
      </c>
      <c r="H34" s="14">
        <v>4</v>
      </c>
      <c r="I34" s="14">
        <v>3</v>
      </c>
      <c r="J34" s="14">
        <v>2</v>
      </c>
      <c r="K34" s="14">
        <v>3</v>
      </c>
      <c r="L34" s="14" t="s">
        <v>20</v>
      </c>
      <c r="M34" s="14" t="s">
        <v>43</v>
      </c>
      <c r="N34" s="14" t="s">
        <v>83</v>
      </c>
      <c r="O34" s="14" t="s">
        <v>23</v>
      </c>
      <c r="P34" s="14" t="s">
        <v>28</v>
      </c>
      <c r="Q34" s="14" t="s">
        <v>41</v>
      </c>
      <c r="R34" s="29" t="s">
        <v>370</v>
      </c>
      <c r="S34" s="14" t="s">
        <v>337</v>
      </c>
    </row>
    <row r="35" spans="1:19" ht="22.5" customHeight="1" x14ac:dyDescent="0.35">
      <c r="A35" s="14" t="s">
        <v>320</v>
      </c>
      <c r="B35" s="20">
        <v>4</v>
      </c>
      <c r="C35" s="14" t="s">
        <v>303</v>
      </c>
      <c r="D35" s="14">
        <v>45</v>
      </c>
      <c r="E35" s="14" t="s">
        <v>18</v>
      </c>
      <c r="F35" s="14" t="s">
        <v>19</v>
      </c>
      <c r="G35" s="14">
        <v>4</v>
      </c>
      <c r="H35" s="14">
        <v>4</v>
      </c>
      <c r="I35" s="14">
        <v>3</v>
      </c>
      <c r="J35" s="14">
        <v>2</v>
      </c>
      <c r="K35" s="14">
        <v>4</v>
      </c>
      <c r="L35" s="14" t="s">
        <v>20</v>
      </c>
      <c r="M35" s="14" t="s">
        <v>21</v>
      </c>
      <c r="N35" s="14" t="s">
        <v>304</v>
      </c>
      <c r="O35" s="14" t="s">
        <v>23</v>
      </c>
      <c r="P35" s="14" t="s">
        <v>24</v>
      </c>
      <c r="Q35" s="14" t="s">
        <v>25</v>
      </c>
      <c r="R35" s="29" t="s">
        <v>371</v>
      </c>
      <c r="S35" s="14" t="s">
        <v>344</v>
      </c>
    </row>
    <row r="36" spans="1:19" ht="22.5" customHeight="1" x14ac:dyDescent="0.35">
      <c r="A36" s="14" t="s">
        <v>320</v>
      </c>
      <c r="B36" s="20">
        <v>4</v>
      </c>
      <c r="C36" s="14" t="s">
        <v>305</v>
      </c>
      <c r="D36" s="14">
        <v>30</v>
      </c>
      <c r="E36" s="14" t="s">
        <v>37</v>
      </c>
      <c r="F36" s="14" t="s">
        <v>38</v>
      </c>
      <c r="G36" s="14">
        <v>3</v>
      </c>
      <c r="H36" s="14">
        <v>4</v>
      </c>
      <c r="I36" s="14">
        <v>4</v>
      </c>
      <c r="J36" s="14">
        <v>2</v>
      </c>
      <c r="K36" s="14">
        <v>4</v>
      </c>
      <c r="L36" s="14" t="s">
        <v>20</v>
      </c>
      <c r="M36" s="14" t="s">
        <v>43</v>
      </c>
      <c r="N36" s="14" t="s">
        <v>306</v>
      </c>
      <c r="O36" s="14" t="s">
        <v>40</v>
      </c>
      <c r="P36" s="14" t="s">
        <v>28</v>
      </c>
      <c r="Q36" s="14" t="s">
        <v>41</v>
      </c>
      <c r="R36" s="29" t="s">
        <v>372</v>
      </c>
      <c r="S36" s="14" t="s">
        <v>337</v>
      </c>
    </row>
    <row r="37" spans="1:19" ht="22.5" customHeight="1" x14ac:dyDescent="0.35">
      <c r="A37" s="14" t="s">
        <v>320</v>
      </c>
      <c r="B37" s="20">
        <v>5</v>
      </c>
      <c r="C37" s="14" t="s">
        <v>307</v>
      </c>
      <c r="D37" s="14">
        <v>33</v>
      </c>
      <c r="E37" s="14" t="s">
        <v>18</v>
      </c>
      <c r="F37" s="14" t="s">
        <v>38</v>
      </c>
      <c r="G37" s="14">
        <v>4</v>
      </c>
      <c r="H37" s="14">
        <v>4</v>
      </c>
      <c r="I37" s="14">
        <v>4</v>
      </c>
      <c r="J37" s="14">
        <v>3</v>
      </c>
      <c r="K37" s="14">
        <v>4</v>
      </c>
      <c r="L37" s="14" t="s">
        <v>20</v>
      </c>
      <c r="M37" s="14" t="s">
        <v>43</v>
      </c>
      <c r="N37" s="14" t="s">
        <v>77</v>
      </c>
      <c r="O37" s="14" t="s">
        <v>40</v>
      </c>
      <c r="P37" s="14" t="s">
        <v>24</v>
      </c>
      <c r="Q37" s="14" t="s">
        <v>41</v>
      </c>
      <c r="R37" s="29" t="s">
        <v>373</v>
      </c>
      <c r="S37" s="14" t="s">
        <v>337</v>
      </c>
    </row>
    <row r="38" spans="1:19" ht="22.5" customHeight="1" x14ac:dyDescent="0.35">
      <c r="A38" s="14" t="s">
        <v>320</v>
      </c>
      <c r="B38" s="20">
        <v>4</v>
      </c>
      <c r="C38" s="14" t="s">
        <v>308</v>
      </c>
      <c r="D38" s="14">
        <v>32</v>
      </c>
      <c r="E38" s="14" t="s">
        <v>37</v>
      </c>
      <c r="F38" s="14" t="s">
        <v>38</v>
      </c>
      <c r="G38" s="14">
        <v>4</v>
      </c>
      <c r="H38" s="14">
        <v>5</v>
      </c>
      <c r="I38" s="14">
        <v>4</v>
      </c>
      <c r="J38" s="14">
        <v>2</v>
      </c>
      <c r="K38" s="14">
        <v>5</v>
      </c>
      <c r="L38" s="14" t="s">
        <v>51</v>
      </c>
      <c r="M38" s="14" t="s">
        <v>43</v>
      </c>
      <c r="N38" s="14" t="s">
        <v>71</v>
      </c>
      <c r="O38" s="14" t="s">
        <v>53</v>
      </c>
      <c r="P38" s="14" t="s">
        <v>24</v>
      </c>
      <c r="Q38" s="14" t="s">
        <v>41</v>
      </c>
      <c r="R38" s="29" t="s">
        <v>374</v>
      </c>
      <c r="S38" s="14" t="s">
        <v>337</v>
      </c>
    </row>
    <row r="39" spans="1:19" ht="22.5" customHeight="1" x14ac:dyDescent="0.35">
      <c r="A39" s="14" t="s">
        <v>320</v>
      </c>
      <c r="B39" s="20">
        <v>5</v>
      </c>
      <c r="C39" s="14" t="s">
        <v>309</v>
      </c>
      <c r="D39" s="14">
        <v>36</v>
      </c>
      <c r="E39" s="14" t="s">
        <v>18</v>
      </c>
      <c r="F39" s="14" t="s">
        <v>38</v>
      </c>
      <c r="G39" s="14">
        <v>4</v>
      </c>
      <c r="H39" s="14">
        <v>3</v>
      </c>
      <c r="I39" s="14">
        <v>3</v>
      </c>
      <c r="J39" s="14">
        <v>2</v>
      </c>
      <c r="K39" s="14">
        <v>4</v>
      </c>
      <c r="L39" s="14" t="s">
        <v>20</v>
      </c>
      <c r="M39" s="14" t="s">
        <v>43</v>
      </c>
      <c r="N39" s="14" t="s">
        <v>71</v>
      </c>
      <c r="O39" s="14" t="s">
        <v>40</v>
      </c>
      <c r="P39" s="14" t="s">
        <v>28</v>
      </c>
      <c r="Q39" s="14" t="s">
        <v>41</v>
      </c>
      <c r="R39" s="29" t="s">
        <v>375</v>
      </c>
      <c r="S39" s="14" t="s">
        <v>344</v>
      </c>
    </row>
    <row r="40" spans="1:19" ht="22.5" customHeight="1" x14ac:dyDescent="0.35">
      <c r="A40" s="14" t="s">
        <v>320</v>
      </c>
      <c r="B40" s="20">
        <v>5</v>
      </c>
      <c r="C40" s="14" t="s">
        <v>310</v>
      </c>
      <c r="D40" s="14">
        <v>39</v>
      </c>
      <c r="E40" s="14" t="s">
        <v>37</v>
      </c>
      <c r="F40" s="14" t="s">
        <v>38</v>
      </c>
      <c r="G40" s="14">
        <v>4</v>
      </c>
      <c r="H40" s="14">
        <v>3</v>
      </c>
      <c r="I40" s="14">
        <v>3</v>
      </c>
      <c r="J40" s="14">
        <v>2</v>
      </c>
      <c r="K40" s="14">
        <v>4</v>
      </c>
      <c r="L40" s="14" t="s">
        <v>20</v>
      </c>
      <c r="M40" s="14" t="s">
        <v>43</v>
      </c>
      <c r="N40" s="14" t="s">
        <v>311</v>
      </c>
      <c r="O40" s="14" t="s">
        <v>23</v>
      </c>
      <c r="P40" s="14" t="s">
        <v>28</v>
      </c>
      <c r="Q40" s="14" t="s">
        <v>25</v>
      </c>
      <c r="R40" s="29" t="s">
        <v>376</v>
      </c>
      <c r="S40" s="14" t="s">
        <v>344</v>
      </c>
    </row>
    <row r="41" spans="1:19" ht="22.5" customHeight="1" x14ac:dyDescent="0.35">
      <c r="A41" s="14" t="s">
        <v>320</v>
      </c>
      <c r="B41" s="20">
        <v>5</v>
      </c>
      <c r="C41" s="14" t="s">
        <v>312</v>
      </c>
      <c r="D41" s="14">
        <v>31</v>
      </c>
      <c r="E41" s="14" t="s">
        <v>18</v>
      </c>
      <c r="F41" s="14" t="s">
        <v>198</v>
      </c>
      <c r="G41" s="14">
        <v>3</v>
      </c>
      <c r="H41" s="14">
        <v>4</v>
      </c>
      <c r="I41" s="14">
        <v>4</v>
      </c>
      <c r="J41" s="14">
        <v>2</v>
      </c>
      <c r="K41" s="14">
        <v>4</v>
      </c>
      <c r="L41" s="14" t="s">
        <v>20</v>
      </c>
      <c r="M41" s="14" t="s">
        <v>43</v>
      </c>
      <c r="N41" s="14" t="s">
        <v>77</v>
      </c>
      <c r="O41" s="14" t="s">
        <v>53</v>
      </c>
      <c r="P41" s="14" t="s">
        <v>270</v>
      </c>
      <c r="Q41" s="14" t="s">
        <v>125</v>
      </c>
      <c r="R41" s="29" t="s">
        <v>377</v>
      </c>
      <c r="S41" s="14" t="s">
        <v>337</v>
      </c>
    </row>
    <row r="42" spans="1:19" ht="12.75" x14ac:dyDescent="0.35">
      <c r="B42" s="21"/>
      <c r="J42" s="22"/>
    </row>
    <row r="43" spans="1:19" ht="12.75" x14ac:dyDescent="0.35">
      <c r="B43" s="23" t="s">
        <v>321</v>
      </c>
      <c r="G43" s="24">
        <v>41</v>
      </c>
      <c r="J43" s="22"/>
    </row>
    <row r="44" spans="1:19" ht="12.75" x14ac:dyDescent="0.35">
      <c r="B44" s="23" t="s">
        <v>322</v>
      </c>
      <c r="G44" s="24">
        <v>1</v>
      </c>
      <c r="J44" s="22"/>
    </row>
    <row r="45" spans="1:19" ht="12.75" x14ac:dyDescent="0.35">
      <c r="B45" s="23" t="s">
        <v>323</v>
      </c>
      <c r="G45" s="24">
        <v>40</v>
      </c>
      <c r="J45" s="22"/>
    </row>
    <row r="46" spans="1:19" ht="12.75" x14ac:dyDescent="0.35">
      <c r="B46" s="21"/>
      <c r="J46" s="22"/>
    </row>
    <row r="47" spans="1:19" ht="12.75" x14ac:dyDescent="0.35">
      <c r="B47" s="21"/>
      <c r="J47" s="22"/>
    </row>
    <row r="48" spans="1:19" ht="12.75" x14ac:dyDescent="0.35">
      <c r="B48" s="21" t="s">
        <v>378</v>
      </c>
      <c r="J48" s="22"/>
    </row>
    <row r="49" spans="2:10" ht="12.75" x14ac:dyDescent="0.35">
      <c r="B49" s="25" t="s">
        <v>379</v>
      </c>
      <c r="J49" s="22"/>
    </row>
    <row r="50" spans="2:10" ht="12.75" x14ac:dyDescent="0.35">
      <c r="B50" s="25" t="s">
        <v>380</v>
      </c>
      <c r="J50" s="22"/>
    </row>
    <row r="51" spans="2:10" ht="12.75" x14ac:dyDescent="0.35">
      <c r="B51" s="21"/>
      <c r="J51" s="22"/>
    </row>
    <row r="52" spans="2:10" ht="12.75" x14ac:dyDescent="0.35">
      <c r="B52" s="21"/>
      <c r="J52" s="22"/>
    </row>
    <row r="53" spans="2:10" ht="12.75" x14ac:dyDescent="0.35">
      <c r="B53" s="21"/>
      <c r="J53" s="22"/>
    </row>
    <row r="54" spans="2:10" ht="12.75" x14ac:dyDescent="0.35">
      <c r="B54" s="21"/>
      <c r="J54" s="22"/>
    </row>
    <row r="55" spans="2:10" ht="12.75" x14ac:dyDescent="0.35">
      <c r="B55" s="21"/>
      <c r="J55" s="22"/>
    </row>
    <row r="56" spans="2:10" ht="12.75" x14ac:dyDescent="0.35">
      <c r="B56" s="21"/>
      <c r="J56" s="22"/>
    </row>
    <row r="57" spans="2:10" ht="12.75" x14ac:dyDescent="0.35">
      <c r="B57" s="21"/>
      <c r="J57" s="22"/>
    </row>
    <row r="58" spans="2:10" ht="12.75" x14ac:dyDescent="0.35">
      <c r="B58" s="21"/>
      <c r="J58" s="22"/>
    </row>
    <row r="59" spans="2:10" ht="12.75" x14ac:dyDescent="0.35">
      <c r="B59" s="21"/>
      <c r="J59" s="22"/>
    </row>
    <row r="60" spans="2:10" ht="12.75" x14ac:dyDescent="0.35">
      <c r="B60" s="21"/>
      <c r="J60" s="22"/>
    </row>
    <row r="61" spans="2:10" ht="12.75" x14ac:dyDescent="0.35">
      <c r="B61" s="21"/>
      <c r="J61" s="22"/>
    </row>
    <row r="62" spans="2:10" ht="12.75" x14ac:dyDescent="0.35">
      <c r="B62" s="21"/>
      <c r="J62" s="22"/>
    </row>
    <row r="63" spans="2:10" ht="12.75" x14ac:dyDescent="0.35">
      <c r="B63" s="21"/>
      <c r="J63" s="22"/>
    </row>
    <row r="64" spans="2:10" ht="12.75" x14ac:dyDescent="0.35">
      <c r="B64" s="21"/>
      <c r="J64" s="22"/>
    </row>
    <row r="65" spans="2:10" ht="12.75" x14ac:dyDescent="0.35">
      <c r="B65" s="21"/>
      <c r="J65" s="22"/>
    </row>
    <row r="66" spans="2:10" ht="12.75" x14ac:dyDescent="0.35">
      <c r="B66" s="21"/>
      <c r="J66" s="22"/>
    </row>
    <row r="67" spans="2:10" ht="12.75" x14ac:dyDescent="0.35">
      <c r="B67" s="21"/>
      <c r="J67" s="22"/>
    </row>
    <row r="68" spans="2:10" ht="12.75" x14ac:dyDescent="0.35">
      <c r="B68" s="21"/>
      <c r="J68" s="22"/>
    </row>
    <row r="69" spans="2:10" ht="12.75" x14ac:dyDescent="0.35">
      <c r="B69" s="21"/>
      <c r="J69" s="22"/>
    </row>
    <row r="70" spans="2:10" ht="12.75" x14ac:dyDescent="0.35">
      <c r="B70" s="21"/>
      <c r="J70" s="22"/>
    </row>
    <row r="71" spans="2:10" ht="12.75" x14ac:dyDescent="0.35">
      <c r="B71" s="21"/>
      <c r="J71" s="22"/>
    </row>
    <row r="72" spans="2:10" ht="12.75" x14ac:dyDescent="0.35">
      <c r="B72" s="21"/>
      <c r="J72" s="22"/>
    </row>
    <row r="73" spans="2:10" ht="12.75" x14ac:dyDescent="0.35">
      <c r="B73" s="21"/>
      <c r="J73" s="22"/>
    </row>
    <row r="74" spans="2:10" ht="12.75" x14ac:dyDescent="0.35">
      <c r="B74" s="21"/>
      <c r="J74" s="22"/>
    </row>
    <row r="75" spans="2:10" ht="12.75" x14ac:dyDescent="0.35">
      <c r="B75" s="21"/>
      <c r="J75" s="22"/>
    </row>
    <row r="76" spans="2:10" ht="12.75" x14ac:dyDescent="0.35">
      <c r="B76" s="21"/>
      <c r="J76" s="22"/>
    </row>
    <row r="77" spans="2:10" ht="12.75" x14ac:dyDescent="0.35">
      <c r="B77" s="21"/>
      <c r="J77" s="22"/>
    </row>
    <row r="78" spans="2:10" ht="12.75" x14ac:dyDescent="0.35">
      <c r="B78" s="21"/>
      <c r="J78" s="22"/>
    </row>
    <row r="79" spans="2:10" ht="12.75" x14ac:dyDescent="0.35">
      <c r="B79" s="21"/>
      <c r="J79" s="22"/>
    </row>
    <row r="80" spans="2:10" ht="12.75" x14ac:dyDescent="0.35">
      <c r="B80" s="21"/>
      <c r="J80" s="22"/>
    </row>
    <row r="81" spans="2:10" ht="12.75" x14ac:dyDescent="0.35">
      <c r="B81" s="21"/>
      <c r="J81" s="22"/>
    </row>
    <row r="82" spans="2:10" ht="12.75" x14ac:dyDescent="0.35">
      <c r="B82" s="21"/>
      <c r="J82" s="22"/>
    </row>
    <row r="83" spans="2:10" ht="12.75" x14ac:dyDescent="0.35">
      <c r="B83" s="21"/>
      <c r="J83" s="22"/>
    </row>
    <row r="84" spans="2:10" ht="12.75" x14ac:dyDescent="0.35">
      <c r="B84" s="21"/>
      <c r="J84" s="22"/>
    </row>
    <row r="85" spans="2:10" ht="12.75" x14ac:dyDescent="0.35">
      <c r="B85" s="21"/>
      <c r="J85" s="22"/>
    </row>
    <row r="86" spans="2:10" ht="12.75" x14ac:dyDescent="0.35">
      <c r="B86" s="21"/>
      <c r="J86" s="22"/>
    </row>
    <row r="87" spans="2:10" ht="12.75" x14ac:dyDescent="0.35">
      <c r="B87" s="21"/>
      <c r="J87" s="22"/>
    </row>
    <row r="88" spans="2:10" ht="12.75" x14ac:dyDescent="0.35">
      <c r="B88" s="21"/>
      <c r="J88" s="22"/>
    </row>
    <row r="89" spans="2:10" ht="12.75" x14ac:dyDescent="0.35">
      <c r="B89" s="21"/>
      <c r="J89" s="22"/>
    </row>
    <row r="90" spans="2:10" ht="12.75" x14ac:dyDescent="0.35">
      <c r="B90" s="21"/>
      <c r="J90" s="22"/>
    </row>
    <row r="91" spans="2:10" ht="12.75" x14ac:dyDescent="0.35">
      <c r="B91" s="21"/>
      <c r="J91" s="22"/>
    </row>
    <row r="92" spans="2:10" ht="12.75" x14ac:dyDescent="0.35">
      <c r="B92" s="21"/>
      <c r="J92" s="22"/>
    </row>
    <row r="93" spans="2:10" ht="12.75" x14ac:dyDescent="0.35">
      <c r="B93" s="21"/>
      <c r="J93" s="22"/>
    </row>
    <row r="94" spans="2:10" ht="12.75" x14ac:dyDescent="0.35">
      <c r="B94" s="21"/>
      <c r="J94" s="22"/>
    </row>
    <row r="95" spans="2:10" ht="12.75" x14ac:dyDescent="0.35">
      <c r="B95" s="21"/>
      <c r="J95" s="22"/>
    </row>
    <row r="96" spans="2:10" ht="12.75" x14ac:dyDescent="0.35">
      <c r="B96" s="21"/>
      <c r="J96" s="22"/>
    </row>
    <row r="97" spans="2:10" ht="12.75" x14ac:dyDescent="0.35">
      <c r="B97" s="21"/>
      <c r="J97" s="22"/>
    </row>
    <row r="98" spans="2:10" ht="12.75" x14ac:dyDescent="0.35">
      <c r="B98" s="21"/>
      <c r="J98" s="22"/>
    </row>
    <row r="99" spans="2:10" ht="12.75" x14ac:dyDescent="0.35">
      <c r="B99" s="21"/>
      <c r="J99" s="22"/>
    </row>
    <row r="100" spans="2:10" ht="12.75" x14ac:dyDescent="0.35">
      <c r="B100" s="21"/>
      <c r="J100" s="22"/>
    </row>
  </sheetData>
  <hyperlinks>
    <hyperlink ref="B49" r:id="rId1" xr:uid="{00000000-0004-0000-0400-000000000000}"/>
    <hyperlink ref="B50" r:id="rId2" xr:uid="{00000000-0004-0000-04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GABUNGAN</vt:lpstr>
      <vt:lpstr>Copy of Cleaning Responses 1</vt:lpstr>
      <vt:lpstr>Copy of Cleaning Responses 2</vt:lpstr>
      <vt:lpstr>Copy of Cleaning Responses 3</vt:lpstr>
      <vt:lpstr>Copy of Cleaning Responses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2025-11-22T12:39:08Z</dcterms:modified>
</cp:coreProperties>
</file>